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06f4da008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32f919f22694f42"/>
    <x:sheet xmlns:r="http://schemas.openxmlformats.org/officeDocument/2006/relationships" name="Products" sheetId="2" r:id="R2c5c21f566fd41b6"/>
    <x:sheet xmlns:r="http://schemas.openxmlformats.org/officeDocument/2006/relationships" name="Customers" sheetId="3" r:id="Rff1979d0547c4270"/>
    <x:sheet xmlns:r="http://schemas.openxmlformats.org/officeDocument/2006/relationships" name="Employees" sheetId="4" r:id="R410ff1ede8be46f0"/>
    <x:sheet xmlns:r="http://schemas.openxmlformats.org/officeDocument/2006/relationships" name="Projects" sheetId="5" r:id="Rcc2cbd0413b74530"/>
    <x:sheet xmlns:r="http://schemas.openxmlformats.org/officeDocument/2006/relationships" name="Expenses" sheetId="6" r:id="R5f394db4fef844d1"/>
    <x:sheet xmlns:r="http://schemas.openxmlformats.org/officeDocument/2006/relationships" name="Sales" sheetId="7" r:id="R4d4a668ab20b47dc"/>
    <x:sheet xmlns:r="http://schemas.openxmlformats.org/officeDocument/2006/relationships" name="Holidays" sheetId="8" r:id="R71f6c3d4c73345e8"/>
    <x:sheet xmlns:r="http://schemas.openxmlformats.org/officeDocument/2006/relationships" name="Book_Matrix" sheetId="9" r:id="R9372a18516f44fcd"/>
    <x:sheet xmlns:r="http://schemas.openxmlformats.org/officeDocument/2006/relationships" name="QA_Examples" sheetId="10" r:id="Ra181f00c8d894ebc"/>
    <x:sheet xmlns:r="http://schemas.openxmlformats.org/officeDocument/2006/relationships" name="Monthly_Report" sheetId="11" r:id="R6089eccf4720413d"/>
    <x:sheet xmlns:r="http://schemas.openxmlformats.org/officeDocument/2006/relationships" name="Charts_Lab" sheetId="12" r:id="R4414e83b45be46d3"/>
    <x:sheet xmlns:r="http://schemas.openxmlformats.org/officeDocument/2006/relationships" name="Sheets_and_Links" sheetId="13" r:id="R4ff4e5e852f34b06"/>
    <x:sheet xmlns:r="http://schemas.openxmlformats.org/officeDocument/2006/relationships" name="Pivot_Lab" sheetId="14" r:id="R7ac4bc4b3669468b"/>
    <x:sheet xmlns:r="http://schemas.openxmlformats.org/officeDocument/2006/relationships" name="Power_Query_Lab" sheetId="15" r:id="R92d01fcd6af046b4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$#,##0.00"/>
    <x:numFmt numFmtId="203" formatCode="General"/>
    <x:numFmt numFmtId="204" formatCode="mmm yyyy"/>
    <x:numFmt numFmtId="205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5C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CE5C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C0006"/>
      </x:font>
      <x:fill>
        <x:patternFill>
          <x:bgColor rgb="FFFDE9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ont>
        <x:b/>
      </x:font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2b907ab3d48fc" /><Relationship Type="http://schemas.openxmlformats.org/officeDocument/2006/relationships/theme" Target="/xl/theme/theme1.xml" Id="R7ce925adb04445f6" /><Relationship Type="http://schemas.openxmlformats.org/officeDocument/2006/relationships/sheetMetadata" Target="/xl/metadata1.xml" Id="Rf5959c0b08ea478a" /><Relationship Type="http://schemas.openxmlformats.org/officeDocument/2006/relationships/sharedStrings" Target="/xl/sharedStrings.xml" Id="R5487ac7d4d124970" /><Relationship Type="http://schemas.openxmlformats.org/officeDocument/2006/relationships/worksheet" Target="/xl/worksheets/sheet1.xml" Id="Rc32f919f22694f42" /><Relationship Type="http://schemas.openxmlformats.org/officeDocument/2006/relationships/worksheet" Target="/xl/worksheets/sheet2.xml" Id="R2c5c21f566fd41b6" /><Relationship Type="http://schemas.openxmlformats.org/officeDocument/2006/relationships/worksheet" Target="/xl/worksheets/sheet3.xml" Id="Rff1979d0547c4270" /><Relationship Type="http://schemas.openxmlformats.org/officeDocument/2006/relationships/worksheet" Target="/xl/worksheets/sheet4.xml" Id="R410ff1ede8be46f0" /><Relationship Type="http://schemas.openxmlformats.org/officeDocument/2006/relationships/worksheet" Target="/xl/worksheets/sheet5.xml" Id="Rcc2cbd0413b74530" /><Relationship Type="http://schemas.openxmlformats.org/officeDocument/2006/relationships/worksheet" Target="/xl/worksheets/sheet6.xml" Id="R5f394db4fef844d1" /><Relationship Type="http://schemas.openxmlformats.org/officeDocument/2006/relationships/worksheet" Target="/xl/worksheets/sheet7.xml" Id="R4d4a668ab20b47dc" /><Relationship Type="http://schemas.openxmlformats.org/officeDocument/2006/relationships/worksheet" Target="/xl/worksheets/sheet8.xml" Id="R71f6c3d4c73345e8" /><Relationship Type="http://schemas.openxmlformats.org/officeDocument/2006/relationships/worksheet" Target="/xl/worksheets/sheet9.xml" Id="R9372a18516f44fcd" /><Relationship Type="http://schemas.openxmlformats.org/officeDocument/2006/relationships/worksheet" Target="/xl/worksheets/sheet10.xml" Id="Ra181f00c8d894ebc" /><Relationship Type="http://schemas.openxmlformats.org/officeDocument/2006/relationships/worksheet" Target="/xl/worksheets/sheet11.xml" Id="R6089eccf4720413d" /><Relationship Type="http://schemas.openxmlformats.org/officeDocument/2006/relationships/worksheet" Target="/xl/worksheets/sheet12.xml" Id="R4414e83b45be46d3" /><Relationship Type="http://schemas.openxmlformats.org/officeDocument/2006/relationships/worksheet" Target="/xl/worksheets/sheet13.xml" Id="R4ff4e5e852f34b06" /><Relationship Type="http://schemas.openxmlformats.org/officeDocument/2006/relationships/worksheet" Target="/xl/worksheets/sheet14.xml" Id="R7ac4bc4b3669468b" /><Relationship Type="http://schemas.openxmlformats.org/officeDocument/2006/relationships/worksheet" Target="/xl/worksheets/sheet15.xml" Id="R92d01fcd6af046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e38e788c3847eb" /><Relationship Type="http://schemas.openxmlformats.org/officeDocument/2006/relationships/chart" Target="/xl/drawings/charts/chart2.xml" Id="Ra1a3770b3ce14d01" /><Relationship Type="http://schemas.openxmlformats.org/officeDocument/2006/relationships/chart" Target="/xl/drawings/charts/chart3.xml" Id="R806abafd0b1c4694" /><Relationship Type="http://schemas.openxmlformats.org/officeDocument/2006/relationships/chart" Target="/xl/drawings/charts/chart4.xml" Id="Ra571b39edd794edd" /><Relationship Type="http://schemas.openxmlformats.org/officeDocument/2006/relationships/chart" Target="/xl/drawings/charts/chart5.xml" Id="Rf41de5c2cc4440c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0e53285da5242f8" /><Relationship Type="http://schemas.openxmlformats.org/officeDocument/2006/relationships/chart" Target="/xl/drawings/charts/chart7.xml" Id="R37c27e6af7e548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'Charts_Lab'!$A$5:$A$12</c:f>
              <c:strCache>
                <c:ptCount val="0"/>
              </c:strCache>
            </c:strRef>
          </c:cat>
          <c:val>
            <c:numRef>
              <c:f>'Charts_Lab'!$B$5:$B$12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Revenue</c:v>
          </c:tx>
          <c:cat>
            <c:strRef>
              <c:f>'Charts_Lab'!$I$5:$I$9</c:f>
              <c:strCache>
                <c:ptCount val="0"/>
              </c:strCache>
            </c:strRef>
          </c:cat>
          <c:val>
            <c:numRef>
              <c:f>'Charts_Lab'!$J$5:$J$9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Order Status by Month</a:t>
            </a:r>
          </a:p>
        </c:rich>
      </c:tx>
    </c:title>
    <c:plotArea>
      <c:barChart>
        <c:barDir val="col"/>
        <c:grouping val="stacked"/>
        <c:varyColors val="0"/>
        <c:ser>
          <c:idx val="0"/>
          <c:order val="0"/>
          <c:tx>
            <c:v>Completed</c:v>
          </c:tx>
          <c:cat>
            <c:strRef>
              <c:f>'Charts_Lab'!$M$23:$M$30</c:f>
              <c:strCache>
                <c:ptCount val="0"/>
              </c:strCache>
            </c:strRef>
          </c:cat>
          <c:val>
            <c:numRef>
              <c:f>'Charts_Lab'!$N$23:$N$30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Pending</c:v>
          </c:tx>
          <c:cat>
            <c:strRef>
              <c:f>'Charts_Lab'!$M$23:$M$30</c:f>
              <c:strCache>
                <c:ptCount val="0"/>
              </c:strCache>
            </c:strRef>
          </c:cat>
          <c:val>
            <c:numRef>
              <c:f>'Charts_Lab'!$O$23:$O$30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Cancelled</c:v>
          </c:tx>
          <c:cat>
            <c:strRef>
              <c:f>'Charts_Lab'!$M$23:$M$30</c:f>
              <c:strCache>
                <c:ptCount val="0"/>
              </c:strCache>
            </c:strRef>
          </c:cat>
          <c:val>
            <c:numRef>
              <c:f>'Charts_Lab'!$P$23:$P$30</c:f>
              <c:numCache>
                <c:formatCode>General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5 Product IDs by Revenue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Revenue</c:v>
          </c:tx>
          <c:cat>
            <c:strRef>
              <c:f>'Charts_Lab'!$A$17:$A$21</c:f>
              <c:strCache>
                <c:ptCount val="0"/>
              </c:strCache>
            </c:strRef>
          </c:cat>
          <c:val>
            <c:numRef>
              <c:f>'Charts_Lab'!$B$17:$B$21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Sales Rep</a:t>
            </a:r>
          </a:p>
        </c:rich>
      </c:tx>
    </c:title>
    <c:plotArea>
      <c:barChart>
        <c:barDir val="bar"/>
        <c:varyColors val="0"/>
        <c:ser>
          <c:idx val="0"/>
          <c:order val="0"/>
          <c:tx>
            <c:v>Revenue</c:v>
          </c:tx>
          <c:cat>
            <c:strRef>
              <c:f>'Charts_Lab'!$I$17:$I$22</c:f>
              <c:strCache>
                <c:ptCount val="0"/>
              </c:strCache>
            </c:strRef>
          </c:cat>
          <c:val>
            <c:numRef>
              <c:f>'Charts_Lab'!$J$17:$J$22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 and Status</a:t>
            </a:r>
          </a:p>
        </c:rich>
      </c:tx>
    </c:title>
    <c:plotArea>
      <c:barChart>
        <c:barDir val="col"/>
        <c:grouping val="stacked"/>
        <c:varyColors val="0"/>
        <c:ser>
          <c:idx val="0"/>
          <c:order val="0"/>
          <c:tx>
            <c:v>Completed</c:v>
          </c:tx>
          <c:cat>
            <c:strRef>
              <c:f>'Pivot_Lab'!$A$12:$A$16</c:f>
              <c:strCache>
                <c:ptCount val="0"/>
              </c:strCache>
            </c:strRef>
          </c:cat>
          <c:val>
            <c:numRef>
              <c:f>'Pivot_Lab'!$B$12:$B$16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Pending</c:v>
          </c:tx>
          <c:cat>
            <c:strRef>
              <c:f>'Pivot_Lab'!$A$12:$A$16</c:f>
              <c:strCache>
                <c:ptCount val="0"/>
              </c:strCache>
            </c:strRef>
          </c:cat>
          <c:val>
            <c:numRef>
              <c:f>'Pivot_Lab'!$C$12:$C$16</c:f>
              <c:numCache>
                <c:formatCode>$#,##0.00</c:formatCode>
                <c:ptCount val="0"/>
              </c:numCache>
            </c:numRef>
          </c:val>
        </c:ser>
        <c:ser>
          <c:idx val="2"/>
          <c:order val="2"/>
          <c:tx>
            <c:v>Cancelled</c:v>
          </c:tx>
          <c:cat>
            <c:strRef>
              <c:f>'Pivot_Lab'!$A$12:$A$16</c:f>
              <c:strCache>
                <c:ptCount val="0"/>
              </c:strCache>
            </c:strRef>
          </c:cat>
          <c:val>
            <c:numRef>
              <c:f>'Pivot_Lab'!$D$12:$D$16</c:f>
              <c:numCache>
                <c:formatCode>$#,##0.00</c:formatCode>
                <c:ptCount val="0"/>
              </c:numCache>
            </c:numRef>
          </c:val>
        </c:ser>
        <c:ser>
          <c:idx val="3"/>
          <c:order val="3"/>
          <c:tx>
            <c:v>Grand Total</c:v>
          </c:tx>
          <c:cat>
            <c:strRef>
              <c:f>'Pivot_Lab'!$A$12:$A$16</c:f>
              <c:strCache>
                <c:ptCount val="0"/>
              </c:strCache>
            </c:strRef>
          </c:cat>
          <c:val>
            <c:numRef>
              <c:f>'Pivot_Lab'!$E$12:$E$16</c:f>
              <c:numCache>
                <c:formatCode>$#,##0.00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from Pivot-Style Summary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'Pivot_Lab'!$I$12:$I$19</c:f>
              <c:strCache>
                <c:ptCount val="0"/>
              </c:strCache>
            </c:strRef>
          </c:cat>
          <c:val>
            <c:numRef>
              <c:f>'Pivot_Lab'!$J$12:$J$19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e38e788c3847eb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a3770b3ce14d0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6abafd0b1c4694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71b39edd794edd"/>
        </a:graphicData>
      </a:graphic>
    </xdr:graphicFrame>
    <xdr:clientData/>
  </xdr:twoCellAnchor>
  <xdr:twoCellAnchor>
    <xdr:from>
      <xdr:col>11</xdr:col>
      <xdr:colOff>0</xdr:colOff>
      <xdr:row>35</xdr:row>
      <xdr:rowOff>0</xdr:rowOff>
    </xdr:from>
    <xdr:to>
      <xdr:col>18</xdr:col>
      <xdr:colOff>0</xdr:colOff>
      <xdr:row>50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1de5c2cc4440c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e53285da5242f8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c27e6af7e548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able" displayName="ProductsTable" ref="A1:G76" headerRowCount="1" totalsRowCount="0" totalsRowShown="0">
  <x:tableColumns count="7">
    <x:tableColumn id="1" name="ProductID"/>
    <x:tableColumn id="2" name="Product"/>
    <x:tableColumn id="3" name="Category"/>
    <x:tableColumn id="4" name="UnitPrice"/>
    <x:tableColumn id="5" name="Cost"/>
    <x:tableColumn id="6" name="Stock"/>
    <x:tableColumn id="7" name="Reorder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G151" headerRowCount="1" totalsRowCount="0" totalsRowShown="0">
  <x:tableColumns count="7">
    <x:tableColumn id="1" name="CustomerID"/>
    <x:tableColumn id="2" name="CustomerName"/>
    <x:tableColumn id="3" name="City"/>
    <x:tableColumn id="4" name="Province"/>
    <x:tableColumn id="5" name="Email"/>
    <x:tableColumn id="6" name="Segment"/>
    <x:tableColumn id="7" name="Join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loyeesTable" displayName="EmployeesTable" ref="A1:H41" headerRowCount="1" totalsRowCount="0" totalsRowShown="0">
  <x:tableColumns count="8">
    <x:tableColumn id="1" name="EmployeeID"/>
    <x:tableColumn id="2" name="EmployeeName"/>
    <x:tableColumn id="3" name="Department"/>
    <x:tableColumn id="4" name="Role"/>
    <x:tableColumn id="5" name="StartDate"/>
    <x:tableColumn id="6" name="PerformanceScore"/>
    <x:tableColumn id="7" name="TrainingComplete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sTable" displayName="ProjectsTable" ref="A1:I61" headerRowCount="1" totalsRowCount="0" totalsRowShown="0">
  <x:tableColumns count="9">
    <x:tableColumn id="1" name="ProjectID"/>
    <x:tableColumn id="2" name="Project"/>
    <x:tableColumn id="3" name="OwnerID"/>
    <x:tableColumn id="4" name="StartDate"/>
    <x:tableColumn id="5" name="DueDate"/>
    <x:tableColumn id="6" name="Status"/>
    <x:tableColumn id="7" name="Priority"/>
    <x:tableColumn id="8" name="PercentComplete"/>
    <x:tableColumn id="9" name="Budge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ensesTable" displayName="ExpensesTable" ref="A1:H151" headerRowCount="1" totalsRowCount="0" totalsRowShown="0">
  <x:tableColumns count="8">
    <x:tableColumn id="1" name="ExpenseID"/>
    <x:tableColumn id="2" name="Date"/>
    <x:tableColumn id="3" name="Department"/>
    <x:tableColumn id="4" name="Category"/>
    <x:tableColumn id="5" name="Vendor"/>
    <x:tableColumn id="6" name="Amount"/>
    <x:tableColumn id="7" name="Approved"/>
    <x:tableColumn id="8" name="PaymentMeth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alesTable" displayName="SalesTable" ref="A1:K501" headerRowCount="1" totalsRowCount="0" totalsRowShown="0">
  <x:tableColumns count="11">
    <x:tableColumn id="1" name="OrderID"/>
    <x:tableColumn id="2" name="OrderDate"/>
    <x:tableColumn id="3" name="CustomerID"/>
    <x:tableColumn id="4" name="ProductID"/>
    <x:tableColumn id="5" name="Region"/>
    <x:tableColumn id="6" name="SalesRep"/>
    <x:tableColumn id="7" name="Quantity"/>
    <x:tableColumn id="8" name="UnitPrice"/>
    <x:tableColumn id="9" name="Discount"/>
    <x:tableColumn id="10" name="Revenue"/>
    <x:tableColumn id="11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okMatrixTable" displayName="BookMatrixTable" ref="A1:I51" headerRowCount="1" totalsRowCount="0" totalsRowShown="0">
  <x:tableColumns count="9">
    <x:tableColumn id="1" name="#"/>
    <x:tableColumn id="2" name="Section"/>
    <x:tableColumn id="3" name="Workplace problem"/>
    <x:tableColumn id="4" name="Excel solution"/>
    <x:tableColumn id="5" name="Dataset"/>
    <x:tableColumn id="6" name="Level"/>
    <x:tableColumn id="7" name="QA method"/>
    <x:tableColumn id="8" name="Expected output / check"/>
    <x:tableColumn id="9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ATable" displayName="QATable" ref="A1:G17" headerRowCount="1" totalsRowCount="0" totalsRowShown="0">
  <x:tableColumns count="7">
    <x:tableColumn id="1" name="Case"/>
    <x:tableColumn id="2" name="Book item"/>
    <x:tableColumn id="3" name="Test description"/>
    <x:tableColumn id="4" name="Excel formula / action"/>
    <x:tableColumn id="5" name="Expected result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e09739ae8044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6fd90b4b3049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34c16eb901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773cc22714b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e54f21321b40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27342b70f64d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4e88212397d4a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1fb8152dcea45c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4b7b89b8660b4ef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d51a4498616d4d6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47" t="str">
        <x:v>Excel for Everyday Work - Companion Workbook</x:v>
      </x:c>
      <x:c r="B1" s="47"/>
      <x:c r="C1" s="4"/>
      <x:c r="D1" s="4"/>
      <x:c r="E1" s="4"/>
      <x:c r="F1" s="4"/>
      <x:c r="G1" s="4"/>
      <x:c r="H1" s="4"/>
    </x:row>
    <x:row r="2">
      <x:c r="A2" s="13"/>
      <x:c r="B2" s="13"/>
    </x:row>
    <x:row r="3">
      <x:c r="A3" s="12" t="str">
        <x:v>Purpose</x:v>
      </x:c>
      <x:c r="B3" s="13" t="str">
        <x:v>Practice workbook for the 50 workplace problems in Excel for Everyday Work.</x:v>
      </x:c>
    </x:row>
    <x:row r="4">
      <x:c r="A4" s="12" t="str">
        <x:v>Company</x:v>
      </x:c>
      <x:c r="B4" s="13" t="str">
        <x:v>Northstar Office Supplies, a fictional company used consistently throughout the book.</x:v>
      </x:c>
    </x:row>
    <x:row r="5">
      <x:c r="A5" s="12" t="str">
        <x:v>Target Excel</x:v>
      </x:c>
      <x:c r="B5" s="13" t="str">
        <x:v>Microsoft 365 and current desktop Excel. Modern functions are clearly identified.</x:v>
      </x:c>
    </x:row>
    <x:row r="6">
      <x:c r="A6" s="12" t="str">
        <x:v>How to use</x:v>
      </x:c>
      <x:c r="B6" s="13" t="str">
        <x:v>Work through the numbered problems in the Book_Matrix sheet. Use the data sheets to reproduce each example.</x:v>
      </x:c>
    </x:row>
    <x:row r="7">
      <x:c r="A7" s="12" t="str">
        <x:v>Deliberate defects</x:v>
      </x:c>
      <x:c r="B7" s="13" t="str">
        <x:v>Some customer data contains exact duplicates, extra spaces, inconsistent capitalization, and a line break. Some customers intentionally have no order history. Projects include overdue and incomplete work. These are intentional practice defects.</x:v>
      </x:c>
    </x:row>
    <x:row r="8">
      <x:c r="A8" s="12" t="str">
        <x:v>QA approach</x:v>
      </x:c>
      <x:c r="B8" s="13" t="str">
        <x:v>Formula examples have expected results or verification instructions. Visual features use a visual check.</x:v>
      </x:c>
    </x:row>
    <x:row r="9">
      <x:c r="A9" s="12" t="str">
        <x:v>Writing rule</x:v>
      </x:c>
      <x:c r="B9" s="13" t="str">
        <x:v>Book prose should use direct, natural language, real workplace context, and no em dashes.</x:v>
      </x:c>
    </x:row>
    <x:row r="10">
      <x:c r="A10" s="12" t="str">
        <x:v>Version</x:v>
      </x:c>
      <x:c r="B10" s="13" t="str">
        <x:v>Reviewed companion workbook v0.3</x:v>
      </x:c>
    </x:row>
    <x:row r="11">
      <x:c r="A11" s="13" t="str">
        <x:v>Review status</x:v>
      </x:c>
      <x:c r="B11" s="13" t="str">
        <x:v>Structure, referential integrity, arithmetic, date logic, deliberate defects, and QA expected results reviewed.</x:v>
      </x:c>
    </x:row>
    <x:row r="12">
      <x:c r="A12" s="13" t="str">
        <x:v>QA note</x:v>
      </x:c>
      <x:c r="B12" s="13" t="str">
        <x:v>QA_Examples contains fixed expected results where deterministic and marks dynamic or visual checks as MANUAL.</x:v>
      </x:c>
    </x:row>
    <x:row r="13">
      <x:c r="A13" s="13" t="str">
        <x:v>Visual practice</x:v>
      </x:c>
      <x:c r="B13" s="13" t="str">
        <x:v>Projects now includes live conditional-formatting examples: overdue, blocked, high priority, and progress data bars.</x:v>
      </x:c>
    </x:row>
    <x:row r="14">
      <x:c r="A14" s="13" t="str">
        <x:v>High-value expenses</x:v>
      </x:c>
      <x:c r="B14" s="13" t="str">
        <x:v>Expenses highlights amounts above $1,500 as an additional conditional-formatting exercise.</x:v>
      </x:c>
    </x:row>
    <x:row r="15">
      <x:c r="A15" s="13" t="str">
        <x:v>Charts practice</x:v>
      </x:c>
      <x:c r="B15" s="13" t="str">
        <x:v>Charts_Lab contains chart-ready summaries and five live chart examples built from the Sales data.</x:v>
      </x:c>
    </x:row>
    <x:row r="16">
      <x:c r="A16" s="13" t="str">
        <x:v>Chart lesson</x:v>
      </x:c>
      <x:c r="B16" s="13" t="str">
        <x:v>Practice choosing a chart based on the business question, then check the chart source and explain the insight in one sentence.</x:v>
      </x:c>
    </x:row>
    <x:row r="17">
      <x:c r="A17" s="13" t="str">
        <x:v>Cross-sheet practice</x:v>
      </x:c>
      <x:c r="B17" s="13" t="str">
        <x:v>Sheets_and_Links explains same-workbook references and workbook links, with live region summaries that reference Sales.</x:v>
      </x:c>
    </x:row>
    <x:row r="18">
      <x:c r="A18" s="13" t="str">
        <x:v>PivotTable practice</x:v>
      </x:c>
      <x:c r="B18" s="13" t="str">
        <x:v>Pivot_Lab explains Rows, Columns, Values, Filters, refresh, grouping, PivotCharts, slicers, and Data Model relationships.</x:v>
      </x:c>
    </x:row>
    <x:row r="19">
      <x:c r="A19" s="13" t="str">
        <x:v>External-link note</x:v>
      </x:c>
      <x:c r="B19" s="13" t="str">
        <x:v>A separate Budget_Source.xlsx file is included for the book's cross-workbook example. Create the live link in desktop Excel so readers see Excel generate the path for their own system.</x:v>
      </x:c>
    </x:row>
    <x:row r="20">
      <x:c r="A20" s="13" t="str">
        <x:v>Power Query practice</x:v>
      </x:c>
      <x:c r="B20" s="13" t="str">
        <x:v>Power_Query_Lab shows a messy monthly file, the transformation steps, the clean result, Append vs Merge, and refresh guardrails.</x:v>
      </x:c>
    </x:row>
    <x:row r="21">
      <x:c r="A21" s="13" t="str">
        <x:v>Practice files</x:v>
      </x:c>
      <x:c r="B21" s="13" t="str">
        <x:v>Three CSV files are supplied so you can import one file, combine a folder, and see how Refresh replaces repeated copy/paste.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4" t="str">
        <x:v>ProductID</x:v>
      </x:c>
      <x:c r="B1" s="34" t="str">
        <x:v>Product</x:v>
      </x:c>
      <x:c r="C1" s="34" t="str">
        <x:v>Category</x:v>
      </x:c>
      <x:c r="D1" s="34" t="str">
        <x:v>UnitPrice</x:v>
      </x:c>
      <x:c r="E1" s="34" t="str">
        <x:v>Cost</x:v>
      </x:c>
      <x:c r="F1" s="34" t="str">
        <x:v>Stock</x:v>
      </x:c>
      <x:c r="G1" s="34" t="str">
        <x:v>ReorderLevel</x:v>
      </x:c>
    </x:row>
    <x:row r="2">
      <x:c r="A2" s="13" t="str">
        <x:v>P001</x:v>
      </x:c>
      <x:c r="B2" s="13" t="str">
        <x:v>Copy Paper Letter 500 Sheets</x:v>
      </x:c>
      <x:c r="C2" s="13" t="str">
        <x:v>Paper</x:v>
      </x:c>
      <x:c r="D2" s="40" t="n">
        <x:v>12.66</x:v>
      </x:c>
      <x:c r="E2" s="40" t="n">
        <x:v>6.93</x:v>
      </x:c>
      <x:c r="F2" s="13" t="n">
        <x:v>136</x:v>
      </x:c>
      <x:c r="G2" s="13" t="n">
        <x:v>25</x:v>
      </x:c>
    </x:row>
    <x:row r="3">
      <x:c r="A3" s="13" t="str">
        <x:v>P002</x:v>
      </x:c>
      <x:c r="B3" s="13" t="str">
        <x:v>Recycled Copy Paper Letter</x:v>
      </x:c>
      <x:c r="C3" s="13" t="str">
        <x:v>Paper</x:v>
      </x:c>
      <x:c r="D3" s="40" t="n">
        <x:v>32.04</x:v>
      </x:c>
      <x:c r="E3" s="40" t="n">
        <x:v>20.24</x:v>
      </x:c>
      <x:c r="F3" s="13" t="n">
        <x:v>41</x:v>
      </x:c>
      <x:c r="G3" s="13" t="n">
        <x:v>20</x:v>
      </x:c>
    </x:row>
    <x:row r="4">
      <x:c r="A4" s="13" t="str">
        <x:v>P003</x:v>
      </x:c>
      <x:c r="B4" s="13" t="str">
        <x:v>Premium Presentation Paper</x:v>
      </x:c>
      <x:c r="C4" s="13" t="str">
        <x:v>Paper</x:v>
      </x:c>
      <x:c r="D4" s="40" t="n">
        <x:v>29.94</x:v>
      </x:c>
      <x:c r="E4" s="40" t="n">
        <x:v>15.56</x:v>
      </x:c>
      <x:c r="F4" s="13" t="n">
        <x:v>101</x:v>
      </x:c>
      <x:c r="G4" s="13" t="n">
        <x:v>40</x:v>
      </x:c>
    </x:row>
    <x:row r="5">
      <x:c r="A5" s="13" t="str">
        <x:v>P004</x:v>
      </x:c>
      <x:c r="B5" s="13" t="str">
        <x:v>Cardstock White 250 Sheets</x:v>
      </x:c>
      <x:c r="C5" s="13" t="str">
        <x:v>Paper</x:v>
      </x:c>
      <x:c r="D5" s="40" t="n">
        <x:v>23.21</x:v>
      </x:c>
      <x:c r="E5" s="40" t="n">
        <x:v>11.82</x:v>
      </x:c>
      <x:c r="F5" s="13" t="n">
        <x:v>78</x:v>
      </x:c>
      <x:c r="G5" s="13" t="n">
        <x:v>20</x:v>
      </x:c>
    </x:row>
    <x:row r="6">
      <x:c r="A6" s="13" t="str">
        <x:v>P005</x:v>
      </x:c>
      <x:c r="B6" s="13" t="str">
        <x:v>Sticky Notes 3 x 3</x:v>
      </x:c>
      <x:c r="C6" s="13" t="str">
        <x:v>Paper</x:v>
      </x:c>
      <x:c r="D6" s="40" t="n">
        <x:v>34.77</x:v>
      </x:c>
      <x:c r="E6" s="40" t="n">
        <x:v>17.01</x:v>
      </x:c>
      <x:c r="F6" s="13" t="n">
        <x:v>100</x:v>
      </x:c>
      <x:c r="G6" s="13" t="n">
        <x:v>30</x:v>
      </x:c>
    </x:row>
    <x:row r="7">
      <x:c r="A7" s="13" t="str">
        <x:v>P006</x:v>
      </x:c>
      <x:c r="B7" s="13" t="str">
        <x:v>Index Cards Ruled</x:v>
      </x:c>
      <x:c r="C7" s="13" t="str">
        <x:v>Paper</x:v>
      </x:c>
      <x:c r="D7" s="40" t="n">
        <x:v>22.5</x:v>
      </x:c>
      <x:c r="E7" s="40" t="n">
        <x:v>13.74</x:v>
      </x:c>
      <x:c r="F7" s="13" t="n">
        <x:v>58</x:v>
      </x:c>
      <x:c r="G7" s="13" t="n">
        <x:v>40</x:v>
      </x:c>
    </x:row>
    <x:row r="8">
      <x:c r="A8" s="13" t="str">
        <x:v>P007</x:v>
      </x:c>
      <x:c r="B8" s="13" t="str">
        <x:v>Legal Pads Yellow</x:v>
      </x:c>
      <x:c r="C8" s="13" t="str">
        <x:v>Paper</x:v>
      </x:c>
      <x:c r="D8" s="40" t="n">
        <x:v>31.23</x:v>
      </x:c>
      <x:c r="E8" s="40" t="n">
        <x:v>14.55</x:v>
      </x:c>
      <x:c r="F8" s="13" t="n">
        <x:v>154</x:v>
      </x:c>
      <x:c r="G8" s="13" t="n">
        <x:v>30</x:v>
      </x:c>
    </x:row>
    <x:row r="9">
      <x:c r="A9" s="13" t="str">
        <x:v>P008</x:v>
      </x:c>
      <x:c r="B9" s="13" t="str">
        <x:v>Graph Paper Pad</x:v>
      </x:c>
      <x:c r="C9" s="13" t="str">
        <x:v>Paper</x:v>
      </x:c>
      <x:c r="D9" s="40" t="n">
        <x:v>24.86</x:v>
      </x:c>
      <x:c r="E9" s="40" t="n">
        <x:v>16.9</x:v>
      </x:c>
      <x:c r="F9" s="13" t="n">
        <x:v>30</x:v>
      </x:c>
      <x:c r="G9" s="13" t="n">
        <x:v>20</x:v>
      </x:c>
    </x:row>
    <x:row r="10">
      <x:c r="A10" s="13" t="str">
        <x:v>P009</x:v>
      </x:c>
      <x:c r="B10" s="13" t="str">
        <x:v>Shipping Labels 2 x 4</x:v>
      </x:c>
      <x:c r="C10" s="13" t="str">
        <x:v>Paper</x:v>
      </x:c>
      <x:c r="D10" s="40" t="n">
        <x:v>29.42</x:v>
      </x:c>
      <x:c r="E10" s="40" t="n">
        <x:v>16.03</x:v>
      </x:c>
      <x:c r="F10" s="13" t="n">
        <x:v>120</x:v>
      </x:c>
      <x:c r="G10" s="13" t="n">
        <x:v>20</x:v>
      </x:c>
    </x:row>
    <x:row r="11">
      <x:c r="A11" s="13" t="str">
        <x:v>P010</x:v>
      </x:c>
      <x:c r="B11" s="13" t="str">
        <x:v>Mailing Labels 1 x 2.625</x:v>
      </x:c>
      <x:c r="C11" s="13" t="str">
        <x:v>Paper</x:v>
      </x:c>
      <x:c r="D11" s="40" t="n">
        <x:v>26.15</x:v>
      </x:c>
      <x:c r="E11" s="40" t="n">
        <x:v>14.17</x:v>
      </x:c>
      <x:c r="F11" s="13" t="n">
        <x:v>118</x:v>
      </x:c>
      <x:c r="G11" s="13" t="n">
        <x:v>50</x:v>
      </x:c>
    </x:row>
    <x:row r="12">
      <x:c r="A12" s="13" t="str">
        <x:v>P011</x:v>
      </x:c>
      <x:c r="B12" s="13" t="str">
        <x:v>Thermal Receipt Rolls</x:v>
      </x:c>
      <x:c r="C12" s="13" t="str">
        <x:v>Paper</x:v>
      </x:c>
      <x:c r="D12" s="40" t="n">
        <x:v>32.78</x:v>
      </x:c>
      <x:c r="E12" s="40" t="n">
        <x:v>18.82</x:v>
      </x:c>
      <x:c r="F12" s="13" t="n">
        <x:v>168</x:v>
      </x:c>
      <x:c r="G12" s="13" t="n">
        <x:v>25</x:v>
      </x:c>
    </x:row>
    <x:row r="13">
      <x:c r="A13" s="13" t="str">
        <x:v>P012</x:v>
      </x:c>
      <x:c r="B13" s="13" t="str">
        <x:v>Photo Paper Glossy</x:v>
      </x:c>
      <x:c r="C13" s="13" t="str">
        <x:v>Paper</x:v>
      </x:c>
      <x:c r="D13" s="40" t="n">
        <x:v>21.04</x:v>
      </x:c>
      <x:c r="E13" s="40" t="n">
        <x:v>10.84</x:v>
      </x:c>
      <x:c r="F13" s="13" t="n">
        <x:v>78</x:v>
      </x:c>
      <x:c r="G13" s="13" t="n">
        <x:v>25</x:v>
      </x:c>
    </x:row>
    <x:row r="14">
      <x:c r="A14" s="13" t="str">
        <x:v>P013</x:v>
      </x:c>
      <x:c r="B14" s="13" t="str">
        <x:v>Colored Copy Paper Assorted</x:v>
      </x:c>
      <x:c r="C14" s="13" t="str">
        <x:v>Paper</x:v>
      </x:c>
      <x:c r="D14" s="40" t="n">
        <x:v>12.07</x:v>
      </x:c>
      <x:c r="E14" s="40" t="n">
        <x:v>6.29</x:v>
      </x:c>
      <x:c r="F14" s="13" t="n">
        <x:v>94</x:v>
      </x:c>
      <x:c r="G14" s="13" t="n">
        <x:v>30</x:v>
      </x:c>
    </x:row>
    <x:row r="15">
      <x:c r="A15" s="13" t="str">
        <x:v>P014</x:v>
      </x:c>
      <x:c r="B15" s="13" t="str">
        <x:v>Notepad 5 x 8</x:v>
      </x:c>
      <x:c r="C15" s="13" t="str">
        <x:v>Paper</x:v>
      </x:c>
      <x:c r="D15" s="40" t="n">
        <x:v>21.79</x:v>
      </x:c>
      <x:c r="E15" s="40" t="n">
        <x:v>12.42</x:v>
      </x:c>
      <x:c r="F15" s="13" t="n">
        <x:v>95</x:v>
      </x:c>
      <x:c r="G15" s="13" t="n">
        <x:v>25</x:v>
      </x:c>
    </x:row>
    <x:row r="16">
      <x:c r="A16" s="13" t="str">
        <x:v>P015</x:v>
      </x:c>
      <x:c r="B16" s="13" t="str">
        <x:v>Flip Chart Paper</x:v>
      </x:c>
      <x:c r="C16" s="13" t="str">
        <x:v>Paper</x:v>
      </x:c>
      <x:c r="D16" s="40" t="n">
        <x:v>34.36</x:v>
      </x:c>
      <x:c r="E16" s="40" t="n">
        <x:v>19.08</x:v>
      </x:c>
      <x:c r="F16" s="13" t="n">
        <x:v>120</x:v>
      </x:c>
      <x:c r="G16" s="13" t="n">
        <x:v>30</x:v>
      </x:c>
    </x:row>
    <x:row r="17">
      <x:c r="A17" s="13" t="str">
        <x:v>P016</x:v>
      </x:c>
      <x:c r="B17" s="13" t="str">
        <x:v>Ballpoint Pens Black 12 Pack</x:v>
      </x:c>
      <x:c r="C17" s="13" t="str">
        <x:v>Writing</x:v>
      </x:c>
      <x:c r="D17" s="40" t="n">
        <x:v>23.5</x:v>
      </x:c>
      <x:c r="E17" s="40" t="n">
        <x:v>12.3</x:v>
      </x:c>
      <x:c r="F17" s="13" t="n">
        <x:v>70</x:v>
      </x:c>
      <x:c r="G17" s="13" t="n">
        <x:v>40</x:v>
      </x:c>
    </x:row>
    <x:row r="18">
      <x:c r="A18" s="13" t="str">
        <x:v>P017</x:v>
      </x:c>
      <x:c r="B18" s="13" t="str">
        <x:v>Gel Pens Blue 12 Pack</x:v>
      </x:c>
      <x:c r="C18" s="13" t="str">
        <x:v>Writing</x:v>
      </x:c>
      <x:c r="D18" s="40" t="n">
        <x:v>10.74</x:v>
      </x:c>
      <x:c r="E18" s="40" t="n">
        <x:v>5.11</x:v>
      </x:c>
      <x:c r="F18" s="13" t="n">
        <x:v>82</x:v>
      </x:c>
      <x:c r="G18" s="13" t="n">
        <x:v>40</x:v>
      </x:c>
    </x:row>
    <x:row r="19">
      <x:c r="A19" s="13" t="str">
        <x:v>P018</x:v>
      </x:c>
      <x:c r="B19" s="13" t="str">
        <x:v>Permanent Markers Black 8 Pack</x:v>
      </x:c>
      <x:c r="C19" s="13" t="str">
        <x:v>Writing</x:v>
      </x:c>
      <x:c r="D19" s="40" t="n">
        <x:v>19.54</x:v>
      </x:c>
      <x:c r="E19" s="40" t="n">
        <x:v>9.9</x:v>
      </x:c>
      <x:c r="F19" s="13" t="n">
        <x:v>174</x:v>
      </x:c>
      <x:c r="G19" s="13" t="n">
        <x:v>50</x:v>
      </x:c>
    </x:row>
    <x:row r="20">
      <x:c r="A20" s="13" t="str">
        <x:v>P019</x:v>
      </x:c>
      <x:c r="B20" s="13" t="str">
        <x:v>Dry Erase Markers 8 Pack</x:v>
      </x:c>
      <x:c r="C20" s="13" t="str">
        <x:v>Writing</x:v>
      </x:c>
      <x:c r="D20" s="40" t="n">
        <x:v>30.91</x:v>
      </x:c>
      <x:c r="E20" s="40" t="n">
        <x:v>18.04</x:v>
      </x:c>
      <x:c r="F20" s="13" t="n">
        <x:v>137</x:v>
      </x:c>
      <x:c r="G20" s="13" t="n">
        <x:v>50</x:v>
      </x:c>
    </x:row>
    <x:row r="21">
      <x:c r="A21" s="13" t="str">
        <x:v>P020</x:v>
      </x:c>
      <x:c r="B21" s="13" t="str">
        <x:v>Mechanical Pencils 12 Pack</x:v>
      </x:c>
      <x:c r="C21" s="13" t="str">
        <x:v>Writing</x:v>
      </x:c>
      <x:c r="D21" s="40" t="n">
        <x:v>27.83</x:v>
      </x:c>
      <x:c r="E21" s="40" t="n">
        <x:v>17.41</x:v>
      </x:c>
      <x:c r="F21" s="13" t="n">
        <x:v>52</x:v>
      </x:c>
      <x:c r="G21" s="13" t="n">
        <x:v>25</x:v>
      </x:c>
    </x:row>
    <x:row r="22">
      <x:c r="A22" s="13" t="str">
        <x:v>P021</x:v>
      </x:c>
      <x:c r="B22" s="13" t="str">
        <x:v>Highlighters Assorted 6 Pack</x:v>
      </x:c>
      <x:c r="C22" s="13" t="str">
        <x:v>Writing</x:v>
      </x:c>
      <x:c r="D22" s="40" t="n">
        <x:v>33.53</x:v>
      </x:c>
      <x:c r="E22" s="40" t="n">
        <x:v>18.91</x:v>
      </x:c>
      <x:c r="F22" s="13" t="n">
        <x:v>176</x:v>
      </x:c>
      <x:c r="G22" s="13" t="n">
        <x:v>20</x:v>
      </x:c>
    </x:row>
    <x:row r="23">
      <x:c r="A23" s="13" t="str">
        <x:v>P022</x:v>
      </x:c>
      <x:c r="B23" s="13" t="str">
        <x:v>Fine Tip Markers 12 Pack</x:v>
      </x:c>
      <x:c r="C23" s="13" t="str">
        <x:v>Writing</x:v>
      </x:c>
      <x:c r="D23" s="40" t="n">
        <x:v>25.34</x:v>
      </x:c>
      <x:c r="E23" s="40" t="n">
        <x:v>14.42</x:v>
      </x:c>
      <x:c r="F23" s="13" t="n">
        <x:v>151</x:v>
      </x:c>
      <x:c r="G23" s="13" t="n">
        <x:v>30</x:v>
      </x:c>
    </x:row>
    <x:row r="24">
      <x:c r="A24" s="13" t="str">
        <x:v>P023</x:v>
      </x:c>
      <x:c r="B24" s="13" t="str">
        <x:v>Correction Tape 10 Pack</x:v>
      </x:c>
      <x:c r="C24" s="13" t="str">
        <x:v>Writing</x:v>
      </x:c>
      <x:c r="D24" s="40" t="n">
        <x:v>27.81</x:v>
      </x:c>
      <x:c r="E24" s="40" t="n">
        <x:v>18.03</x:v>
      </x:c>
      <x:c r="F24" s="13" t="n">
        <x:v>55</x:v>
      </x:c>
      <x:c r="G24" s="13" t="n">
        <x:v>30</x:v>
      </x:c>
    </x:row>
    <x:row r="25">
      <x:c r="A25" s="13" t="str">
        <x:v>P024</x:v>
      </x:c>
      <x:c r="B25" s="13" t="str">
        <x:v>Whiteboard Eraser</x:v>
      </x:c>
      <x:c r="C25" s="13" t="str">
        <x:v>Writing</x:v>
      </x:c>
      <x:c r="D25" s="40" t="n">
        <x:v>19.12</x:v>
      </x:c>
      <x:c r="E25" s="40" t="n">
        <x:v>10.74</x:v>
      </x:c>
      <x:c r="F25" s="13" t="n">
        <x:v>164</x:v>
      </x:c>
      <x:c r="G25" s="13" t="n">
        <x:v>25</x:v>
      </x:c>
    </x:row>
    <x:row r="26">
      <x:c r="A26" s="13" t="str">
        <x:v>P025</x:v>
      </x:c>
      <x:c r="B26" s="13" t="str">
        <x:v>Pencil Crayons 24 Pack</x:v>
      </x:c>
      <x:c r="C26" s="13" t="str">
        <x:v>Writing</x:v>
      </x:c>
      <x:c r="D26" s="40" t="n">
        <x:v>23.27</x:v>
      </x:c>
      <x:c r="E26" s="40" t="n">
        <x:v>15.1</x:v>
      </x:c>
      <x:c r="F26" s="13" t="n">
        <x:v>115</x:v>
      </x:c>
      <x:c r="G26" s="13" t="n">
        <x:v>25</x:v>
      </x:c>
    </x:row>
    <x:row r="27">
      <x:c r="A27" s="13" t="str">
        <x:v>P026</x:v>
      </x:c>
      <x:c r="B27" s="13" t="str">
        <x:v>Fountain Pen Starter Set</x:v>
      </x:c>
      <x:c r="C27" s="13" t="str">
        <x:v>Writing</x:v>
      </x:c>
      <x:c r="D27" s="40" t="n">
        <x:v>22.79</x:v>
      </x:c>
      <x:c r="E27" s="40" t="n">
        <x:v>13.86</x:v>
      </x:c>
      <x:c r="F27" s="13" t="n">
        <x:v>68</x:v>
      </x:c>
      <x:c r="G27" s="13" t="n">
        <x:v>20</x:v>
      </x:c>
    </x:row>
    <x:row r="28">
      <x:c r="A28" s="13" t="str">
        <x:v>P027</x:v>
      </x:c>
      <x:c r="B28" s="13" t="str">
        <x:v>Sharpie Style Markers 12 Pack</x:v>
      </x:c>
      <x:c r="C28" s="13" t="str">
        <x:v>Writing</x:v>
      </x:c>
      <x:c r="D28" s="40" t="n">
        <x:v>22.33</x:v>
      </x:c>
      <x:c r="E28" s="40" t="n">
        <x:v>12.77</x:v>
      </x:c>
      <x:c r="F28" s="13" t="n">
        <x:v>100</x:v>
      </x:c>
      <x:c r="G28" s="13" t="n">
        <x:v>20</x:v>
      </x:c>
    </x:row>
    <x:row r="29">
      <x:c r="A29" s="13" t="str">
        <x:v>P028</x:v>
      </x:c>
      <x:c r="B29" s="13" t="str">
        <x:v>Rollerball Pens 6 Pack</x:v>
      </x:c>
      <x:c r="C29" s="13" t="str">
        <x:v>Writing</x:v>
      </x:c>
      <x:c r="D29" s="40" t="n">
        <x:v>27.55</x:v>
      </x:c>
      <x:c r="E29" s="40" t="n">
        <x:v>18.63</x:v>
      </x:c>
      <x:c r="F29" s="13" t="n">
        <x:v>152</x:v>
      </x:c>
      <x:c r="G29" s="13" t="n">
        <x:v>25</x:v>
      </x:c>
    </x:row>
    <x:row r="30">
      <x:c r="A30" s="13" t="str">
        <x:v>P029</x:v>
      </x:c>
      <x:c r="B30" s="13" t="str">
        <x:v>Pencil Leads 0.5 mm</x:v>
      </x:c>
      <x:c r="C30" s="13" t="str">
        <x:v>Writing</x:v>
      </x:c>
      <x:c r="D30" s="40" t="n">
        <x:v>15.29</x:v>
      </x:c>
      <x:c r="E30" s="40" t="n">
        <x:v>7.54</x:v>
      </x:c>
      <x:c r="F30" s="13" t="n">
        <x:v>100</x:v>
      </x:c>
      <x:c r="G30" s="13" t="n">
        <x:v>25</x:v>
      </x:c>
    </x:row>
    <x:row r="31">
      <x:c r="A31" s="13" t="str">
        <x:v>P030</x:v>
      </x:c>
      <x:c r="B31" s="13" t="str">
        <x:v>Desk Pencil Cup</x:v>
      </x:c>
      <x:c r="C31" s="13" t="str">
        <x:v>Writing</x:v>
      </x:c>
      <x:c r="D31" s="40" t="n">
        <x:v>10.76</x:v>
      </x:c>
      <x:c r="E31" s="40" t="n">
        <x:v>6.43</x:v>
      </x:c>
      <x:c r="F31" s="13" t="n">
        <x:v>8</x:v>
      </x:c>
      <x:c r="G31" s="13" t="n">
        <x:v>30</x:v>
      </x:c>
    </x:row>
    <x:row r="32">
      <x:c r="A32" s="13" t="str">
        <x:v>P031</x:v>
      </x:c>
      <x:c r="B32" s="13" t="str">
        <x:v>Archive Boxes 12 Pack</x:v>
      </x:c>
      <x:c r="C32" s="13" t="str">
        <x:v>Storage</x:v>
      </x:c>
      <x:c r="D32" s="40" t="n">
        <x:v>26.62</x:v>
      </x:c>
      <x:c r="E32" s="40" t="n">
        <x:v>13.48</x:v>
      </x:c>
      <x:c r="F32" s="13" t="n">
        <x:v>102</x:v>
      </x:c>
      <x:c r="G32" s="13" t="n">
        <x:v>30</x:v>
      </x:c>
    </x:row>
    <x:row r="33">
      <x:c r="A33" s="13" t="str">
        <x:v>P032</x:v>
      </x:c>
      <x:c r="B33" s="13" t="str">
        <x:v>File Folders Letter 100 Pack</x:v>
      </x:c>
      <x:c r="C33" s="13" t="str">
        <x:v>Storage</x:v>
      </x:c>
      <x:c r="D33" s="40" t="n">
        <x:v>38.71</x:v>
      </x:c>
      <x:c r="E33" s="40" t="n">
        <x:v>24.17</x:v>
      </x:c>
      <x:c r="F33" s="13" t="n">
        <x:v>173</x:v>
      </x:c>
      <x:c r="G33" s="13" t="n">
        <x:v>50</x:v>
      </x:c>
    </x:row>
    <x:row r="34">
      <x:c r="A34" s="13" t="str">
        <x:v>P033</x:v>
      </x:c>
      <x:c r="B34" s="13" t="str">
        <x:v>Hanging File Folders 25 Pack</x:v>
      </x:c>
      <x:c r="C34" s="13" t="str">
        <x:v>Storage</x:v>
      </x:c>
      <x:c r="D34" s="40" t="n">
        <x:v>18.86</x:v>
      </x:c>
      <x:c r="E34" s="40" t="n">
        <x:v>12.3</x:v>
      </x:c>
      <x:c r="F34" s="13" t="n">
        <x:v>89</x:v>
      </x:c>
      <x:c r="G34" s="13" t="n">
        <x:v>50</x:v>
      </x:c>
    </x:row>
    <x:row r="35">
      <x:c r="A35" s="13" t="str">
        <x:v>P034</x:v>
      </x:c>
      <x:c r="B35" s="13" t="str">
        <x:v>Three Ring Binder 1 Inch</x:v>
      </x:c>
      <x:c r="C35" s="13" t="str">
        <x:v>Storage</x:v>
      </x:c>
      <x:c r="D35" s="40" t="n">
        <x:v>14.68</x:v>
      </x:c>
      <x:c r="E35" s="40" t="n">
        <x:v>7.95</x:v>
      </x:c>
      <x:c r="F35" s="13" t="n">
        <x:v>130</x:v>
      </x:c>
      <x:c r="G35" s="13" t="n">
        <x:v>20</x:v>
      </x:c>
    </x:row>
    <x:row r="36">
      <x:c r="A36" s="13" t="str">
        <x:v>P035</x:v>
      </x:c>
      <x:c r="B36" s="13" t="str">
        <x:v>Three Ring Binder 2 Inch</x:v>
      </x:c>
      <x:c r="C36" s="13" t="str">
        <x:v>Storage</x:v>
      </x:c>
      <x:c r="D36" s="40" t="n">
        <x:v>18.09</x:v>
      </x:c>
      <x:c r="E36" s="40" t="n">
        <x:v>11.25</x:v>
      </x:c>
      <x:c r="F36" s="13" t="n">
        <x:v>99</x:v>
      </x:c>
      <x:c r="G36" s="13" t="n">
        <x:v>50</x:v>
      </x:c>
    </x:row>
    <x:row r="37">
      <x:c r="A37" s="13" t="str">
        <x:v>P036</x:v>
      </x:c>
      <x:c r="B37" s="13" t="str">
        <x:v>Expanding File 13 Pocket</x:v>
      </x:c>
      <x:c r="C37" s="13" t="str">
        <x:v>Storage</x:v>
      </x:c>
      <x:c r="D37" s="40" t="n">
        <x:v>24.04</x:v>
      </x:c>
      <x:c r="E37" s="40" t="n">
        <x:v>14.59</x:v>
      </x:c>
      <x:c r="F37" s="13" t="n">
        <x:v>114</x:v>
      </x:c>
      <x:c r="G37" s="13" t="n">
        <x:v>40</x:v>
      </x:c>
    </x:row>
    <x:row r="38">
      <x:c r="A38" s="13" t="str">
        <x:v>P037</x:v>
      </x:c>
      <x:c r="B38" s="13" t="str">
        <x:v>Magazine File Holder</x:v>
      </x:c>
      <x:c r="C38" s="13" t="str">
        <x:v>Storage</x:v>
      </x:c>
      <x:c r="D38" s="40" t="n">
        <x:v>36.84</x:v>
      </x:c>
      <x:c r="E38" s="40" t="n">
        <x:v>22.59</x:v>
      </x:c>
      <x:c r="F38" s="13" t="n">
        <x:v>71</x:v>
      </x:c>
      <x:c r="G38" s="13" t="n">
        <x:v>50</x:v>
      </x:c>
    </x:row>
    <x:row r="39">
      <x:c r="A39" s="13" t="str">
        <x:v>P038</x:v>
      </x:c>
      <x:c r="B39" s="13" t="str">
        <x:v>Desktop Letter Tray</x:v>
      </x:c>
      <x:c r="C39" s="13" t="str">
        <x:v>Storage</x:v>
      </x:c>
      <x:c r="D39" s="40" t="n">
        <x:v>30.26</x:v>
      </x:c>
      <x:c r="E39" s="40" t="n">
        <x:v>19.97</x:v>
      </x:c>
      <x:c r="F39" s="13" t="n">
        <x:v>72</x:v>
      </x:c>
      <x:c r="G39" s="13" t="n">
        <x:v>40</x:v>
      </x:c>
    </x:row>
    <x:row r="40">
      <x:c r="A40" s="13" t="str">
        <x:v>P039</x:v>
      </x:c>
      <x:c r="B40" s="13" t="str">
        <x:v>Document Wallet 10 Pack</x:v>
      </x:c>
      <x:c r="C40" s="13" t="str">
        <x:v>Storage</x:v>
      </x:c>
      <x:c r="D40" s="40" t="n">
        <x:v>14.42</x:v>
      </x:c>
      <x:c r="E40" s="40" t="n">
        <x:v>7.99</x:v>
      </x:c>
      <x:c r="F40" s="13" t="n">
        <x:v>12</x:v>
      </x:c>
      <x:c r="G40" s="13" t="n">
        <x:v>20</x:v>
      </x:c>
    </x:row>
    <x:row r="41">
      <x:c r="A41" s="13" t="str">
        <x:v>P040</x:v>
      </x:c>
      <x:c r="B41" s="13" t="str">
        <x:v>Plastic Storage Bin 20 L</x:v>
      </x:c>
      <x:c r="C41" s="13" t="str">
        <x:v>Storage</x:v>
      </x:c>
      <x:c r="D41" s="40" t="n">
        <x:v>15.6</x:v>
      </x:c>
      <x:c r="E41" s="40" t="n">
        <x:v>9.16</x:v>
      </x:c>
      <x:c r="F41" s="13" t="n">
        <x:v>114</x:v>
      </x:c>
      <x:c r="G41" s="13" t="n">
        <x:v>20</x:v>
      </x:c>
    </x:row>
    <x:row r="42">
      <x:c r="A42" s="13" t="str">
        <x:v>P041</x:v>
      </x:c>
      <x:c r="B42" s="13" t="str">
        <x:v>Binder Dividers 8 Tab</x:v>
      </x:c>
      <x:c r="C42" s="13" t="str">
        <x:v>Storage</x:v>
      </x:c>
      <x:c r="D42" s="40" t="n">
        <x:v>25.09</x:v>
      </x:c>
      <x:c r="E42" s="40" t="n">
        <x:v>15.55</x:v>
      </x:c>
      <x:c r="F42" s="13" t="n">
        <x:v>48</x:v>
      </x:c>
      <x:c r="G42" s="13" t="n">
        <x:v>40</x:v>
      </x:c>
    </x:row>
    <x:row r="43">
      <x:c r="A43" s="13" t="str">
        <x:v>P042</x:v>
      </x:c>
      <x:c r="B43" s="13" t="str">
        <x:v>Sheet Protectors 100 Pack</x:v>
      </x:c>
      <x:c r="C43" s="13" t="str">
        <x:v>Storage</x:v>
      </x:c>
      <x:c r="D43" s="40" t="n">
        <x:v>26.28</x:v>
      </x:c>
      <x:c r="E43" s="40" t="n">
        <x:v>15.68</x:v>
      </x:c>
      <x:c r="F43" s="13" t="n">
        <x:v>54</x:v>
      </x:c>
      <x:c r="G43" s="13" t="n">
        <x:v>40</x:v>
      </x:c>
    </x:row>
    <x:row r="44">
      <x:c r="A44" s="13" t="str">
        <x:v>P043</x:v>
      </x:c>
      <x:c r="B44" s="13" t="str">
        <x:v>Portable File Box</x:v>
      </x:c>
      <x:c r="C44" s="13" t="str">
        <x:v>Storage</x:v>
      </x:c>
      <x:c r="D44" s="40" t="n">
        <x:v>38.14</x:v>
      </x:c>
      <x:c r="E44" s="40" t="n">
        <x:v>20.72</x:v>
      </x:c>
      <x:c r="F44" s="13" t="n">
        <x:v>104</x:v>
      </x:c>
      <x:c r="G44" s="13" t="n">
        <x:v>20</x:v>
      </x:c>
    </x:row>
    <x:row r="45">
      <x:c r="A45" s="13" t="str">
        <x:v>P044</x:v>
      </x:c>
      <x:c r="B45" s="13" t="str">
        <x:v>Label Maker Tape Black on White</x:v>
      </x:c>
      <x:c r="C45" s="13" t="str">
        <x:v>Storage</x:v>
      </x:c>
      <x:c r="D45" s="40" t="n">
        <x:v>24.3</x:v>
      </x:c>
      <x:c r="E45" s="40" t="n">
        <x:v>15.8</x:v>
      </x:c>
      <x:c r="F45" s="13" t="n">
        <x:v>45</x:v>
      </x:c>
      <x:c r="G45" s="13" t="n">
        <x:v>30</x:v>
      </x:c>
    </x:row>
    <x:row r="46">
      <x:c r="A46" s="13" t="str">
        <x:v>P045</x:v>
      </x:c>
      <x:c r="B46" s="13" t="str">
        <x:v>Cable Organizer Box</x:v>
      </x:c>
      <x:c r="C46" s="13" t="str">
        <x:v>Storage</x:v>
      </x:c>
      <x:c r="D46" s="40" t="n">
        <x:v>13.92</x:v>
      </x:c>
      <x:c r="E46" s="40" t="n">
        <x:v>6.84</x:v>
      </x:c>
      <x:c r="F46" s="13" t="n">
        <x:v>28</x:v>
      </x:c>
      <x:c r="G46" s="13" t="n">
        <x:v>40</x:v>
      </x:c>
    </x:row>
    <x:row r="47">
      <x:c r="A47" s="13" t="str">
        <x:v>P046</x:v>
      </x:c>
      <x:c r="B47" s="13" t="str">
        <x:v>Adjustable Laptop Stand</x:v>
      </x:c>
      <x:c r="C47" s="13" t="str">
        <x:v>Desk</x:v>
      </x:c>
      <x:c r="D47" s="40" t="n">
        <x:v>15.24</x:v>
      </x:c>
      <x:c r="E47" s="40" t="n">
        <x:v>8.25</x:v>
      </x:c>
      <x:c r="F47" s="13" t="n">
        <x:v>99</x:v>
      </x:c>
      <x:c r="G47" s="13" t="n">
        <x:v>20</x:v>
      </x:c>
    </x:row>
    <x:row r="48">
      <x:c r="A48" s="13" t="str">
        <x:v>P047</x:v>
      </x:c>
      <x:c r="B48" s="13" t="str">
        <x:v>Desk Mat Large</x:v>
      </x:c>
      <x:c r="C48" s="13" t="str">
        <x:v>Desk</x:v>
      </x:c>
      <x:c r="D48" s="40" t="n">
        <x:v>30.55</x:v>
      </x:c>
      <x:c r="E48" s="40" t="n">
        <x:v>19.37</x:v>
      </x:c>
      <x:c r="F48" s="13" t="n">
        <x:v>56</x:v>
      </x:c>
      <x:c r="G48" s="13" t="n">
        <x:v>40</x:v>
      </x:c>
    </x:row>
    <x:row r="49">
      <x:c r="A49" s="13" t="str">
        <x:v>P048</x:v>
      </x:c>
      <x:c r="B49" s="13" t="str">
        <x:v>Ergonomic Mouse Pad</x:v>
      </x:c>
      <x:c r="C49" s="13" t="str">
        <x:v>Desk</x:v>
      </x:c>
      <x:c r="D49" s="40" t="n">
        <x:v>29.97</x:v>
      </x:c>
      <x:c r="E49" s="40" t="n">
        <x:v>18.28</x:v>
      </x:c>
      <x:c r="F49" s="13" t="n">
        <x:v>27</x:v>
      </x:c>
      <x:c r="G49" s="13" t="n">
        <x:v>20</x:v>
      </x:c>
    </x:row>
    <x:row r="50">
      <x:c r="A50" s="13" t="str">
        <x:v>P049</x:v>
      </x:c>
      <x:c r="B50" s="13" t="str">
        <x:v>Stapler Full Strip</x:v>
      </x:c>
      <x:c r="C50" s="13" t="str">
        <x:v>Desk</x:v>
      </x:c>
      <x:c r="D50" s="40" t="n">
        <x:v>28.04</x:v>
      </x:c>
      <x:c r="E50" s="40" t="n">
        <x:v>13.96</x:v>
      </x:c>
      <x:c r="F50" s="13" t="n">
        <x:v>31</x:v>
      </x:c>
      <x:c r="G50" s="13" t="n">
        <x:v>20</x:v>
      </x:c>
    </x:row>
    <x:row r="51">
      <x:c r="A51" s="13" t="str">
        <x:v>P050</x:v>
      </x:c>
      <x:c r="B51" s="13" t="str">
        <x:v>Heavy Duty Stapler</x:v>
      </x:c>
      <x:c r="C51" s="13" t="str">
        <x:v>Desk</x:v>
      </x:c>
      <x:c r="D51" s="40" t="n">
        <x:v>21.74</x:v>
      </x:c>
      <x:c r="E51" s="40" t="n">
        <x:v>10.15</x:v>
      </x:c>
      <x:c r="F51" s="13" t="n">
        <x:v>27</x:v>
      </x:c>
      <x:c r="G51" s="13" t="n">
        <x:v>20</x:v>
      </x:c>
    </x:row>
    <x:row r="52">
      <x:c r="A52" s="13" t="str">
        <x:v>P051</x:v>
      </x:c>
      <x:c r="B52" s="13" t="str">
        <x:v>Staples 5000 Pack</x:v>
      </x:c>
      <x:c r="C52" s="13" t="str">
        <x:v>Desk</x:v>
      </x:c>
      <x:c r="D52" s="40" t="n">
        <x:v>33.88</x:v>
      </x:c>
      <x:c r="E52" s="40" t="n">
        <x:v>20.88</x:v>
      </x:c>
      <x:c r="F52" s="13" t="n">
        <x:v>88</x:v>
      </x:c>
      <x:c r="G52" s="13" t="n">
        <x:v>40</x:v>
      </x:c>
    </x:row>
    <x:row r="53">
      <x:c r="A53" s="13" t="str">
        <x:v>P052</x:v>
      </x:c>
      <x:c r="B53" s="13" t="str">
        <x:v>Paper Clips 1000 Pack</x:v>
      </x:c>
      <x:c r="C53" s="13" t="str">
        <x:v>Desk</x:v>
      </x:c>
      <x:c r="D53" s="40" t="n">
        <x:v>22.35</x:v>
      </x:c>
      <x:c r="E53" s="40" t="n">
        <x:v>10.87</x:v>
      </x:c>
      <x:c r="F53" s="13" t="n">
        <x:v>137</x:v>
      </x:c>
      <x:c r="G53" s="13" t="n">
        <x:v>25</x:v>
      </x:c>
    </x:row>
    <x:row r="54">
      <x:c r="A54" s="13" t="str">
        <x:v>P053</x:v>
      </x:c>
      <x:c r="B54" s="13" t="str">
        <x:v>Binder Clips Assorted</x:v>
      </x:c>
      <x:c r="C54" s="13" t="str">
        <x:v>Desk</x:v>
      </x:c>
      <x:c r="D54" s="40" t="n">
        <x:v>17.95</x:v>
      </x:c>
      <x:c r="E54" s="40" t="n">
        <x:v>10.81</x:v>
      </x:c>
      <x:c r="F54" s="13" t="n">
        <x:v>14</x:v>
      </x:c>
      <x:c r="G54" s="13" t="n">
        <x:v>30</x:v>
      </x:c>
    </x:row>
    <x:row r="55">
      <x:c r="A55" s="13" t="str">
        <x:v>P054</x:v>
      </x:c>
      <x:c r="B55" s="13" t="str">
        <x:v>Scissors 8 Inch</x:v>
      </x:c>
      <x:c r="C55" s="13" t="str">
        <x:v>Desk</x:v>
      </x:c>
      <x:c r="D55" s="40" t="n">
        <x:v>34.36</x:v>
      </x:c>
      <x:c r="E55" s="40" t="n">
        <x:v>19.34</x:v>
      </x:c>
      <x:c r="F55" s="13" t="n">
        <x:v>65</x:v>
      </x:c>
      <x:c r="G55" s="13" t="n">
        <x:v>25</x:v>
      </x:c>
    </x:row>
    <x:row r="56">
      <x:c r="A56" s="13" t="str">
        <x:v>P055</x:v>
      </x:c>
      <x:c r="B56" s="13" t="str">
        <x:v>Tape Dispenser</x:v>
      </x:c>
      <x:c r="C56" s="13" t="str">
        <x:v>Desk</x:v>
      </x:c>
      <x:c r="D56" s="40" t="n">
        <x:v>30.71</x:v>
      </x:c>
      <x:c r="E56" s="40" t="n">
        <x:v>19.47</x:v>
      </x:c>
      <x:c r="F56" s="13" t="n">
        <x:v>156</x:v>
      </x:c>
      <x:c r="G56" s="13" t="n">
        <x:v>30</x:v>
      </x:c>
    </x:row>
    <x:row r="57">
      <x:c r="A57" s="13" t="str">
        <x:v>P056</x:v>
      </x:c>
      <x:c r="B57" s="13" t="str">
        <x:v>Ruler Stainless Steel</x:v>
      </x:c>
      <x:c r="C57" s="13" t="str">
        <x:v>Desk</x:v>
      </x:c>
      <x:c r="D57" s="40" t="n">
        <x:v>20.02</x:v>
      </x:c>
      <x:c r="E57" s="40" t="n">
        <x:v>12.65</x:v>
      </x:c>
      <x:c r="F57" s="13" t="n">
        <x:v>107</x:v>
      </x:c>
      <x:c r="G57" s="13" t="n">
        <x:v>40</x:v>
      </x:c>
    </x:row>
    <x:row r="58">
      <x:c r="A58" s="13" t="str">
        <x:v>P057</x:v>
      </x:c>
      <x:c r="B58" s="13" t="str">
        <x:v>Calculator 12 Digit</x:v>
      </x:c>
      <x:c r="C58" s="13" t="str">
        <x:v>Desk</x:v>
      </x:c>
      <x:c r="D58" s="40" t="n">
        <x:v>16.91</x:v>
      </x:c>
      <x:c r="E58" s="40" t="n">
        <x:v>8.9</x:v>
      </x:c>
      <x:c r="F58" s="13" t="n">
        <x:v>142</x:v>
      </x:c>
      <x:c r="G58" s="13" t="n">
        <x:v>20</x:v>
      </x:c>
    </x:row>
    <x:row r="59">
      <x:c r="A59" s="13" t="str">
        <x:v>P058</x:v>
      </x:c>
      <x:c r="B59" s="13" t="str">
        <x:v>Desk Organizer 6 Compartment</x:v>
      </x:c>
      <x:c r="C59" s="13" t="str">
        <x:v>Desk</x:v>
      </x:c>
      <x:c r="D59" s="40" t="n">
        <x:v>36.09</x:v>
      </x:c>
      <x:c r="E59" s="40" t="n">
        <x:v>23.1</x:v>
      </x:c>
      <x:c r="F59" s="13" t="n">
        <x:v>155</x:v>
      </x:c>
      <x:c r="G59" s="13" t="n">
        <x:v>30</x:v>
      </x:c>
    </x:row>
    <x:row r="60">
      <x:c r="A60" s="13" t="str">
        <x:v>P059</x:v>
      </x:c>
      <x:c r="B60" s="13" t="str">
        <x:v>Footrest Adjustable</x:v>
      </x:c>
      <x:c r="C60" s="13" t="str">
        <x:v>Desk</x:v>
      </x:c>
      <x:c r="D60" s="40" t="n">
        <x:v>25.22</x:v>
      </x:c>
      <x:c r="E60" s="40" t="n">
        <x:v>14.68</x:v>
      </x:c>
      <x:c r="F60" s="13" t="n">
        <x:v>129</x:v>
      </x:c>
      <x:c r="G60" s="13" t="n">
        <x:v>50</x:v>
      </x:c>
    </x:row>
    <x:row r="61">
      <x:c r="A61" s="13" t="str">
        <x:v>P060</x:v>
      </x:c>
      <x:c r="B61" s="13" t="str">
        <x:v>Monitor Riser</x:v>
      </x:c>
      <x:c r="C61" s="13" t="str">
        <x:v>Desk</x:v>
      </x:c>
      <x:c r="D61" s="40" t="n">
        <x:v>21.75</x:v>
      </x:c>
      <x:c r="E61" s="40" t="n">
        <x:v>11.27</x:v>
      </x:c>
      <x:c r="F61" s="13" t="n">
        <x:v>55</x:v>
      </x:c>
      <x:c r="G61" s="13" t="n">
        <x:v>25</x:v>
      </x:c>
    </x:row>
    <x:row r="62">
      <x:c r="A62" s="13" t="str">
        <x:v>P061</x:v>
      </x:c>
      <x:c r="B62" s="13" t="str">
        <x:v>Wireless Mouse</x:v>
      </x:c>
      <x:c r="C62" s="13" t="str">
        <x:v>Technology</x:v>
      </x:c>
      <x:c r="D62" s="40" t="n">
        <x:v>40.29</x:v>
      </x:c>
      <x:c r="E62" s="40" t="n">
        <x:v>22.38</x:v>
      </x:c>
      <x:c r="F62" s="13" t="n">
        <x:v>138</x:v>
      </x:c>
      <x:c r="G62" s="13" t="n">
        <x:v>50</x:v>
      </x:c>
    </x:row>
    <x:row r="63">
      <x:c r="A63" s="13" t="str">
        <x:v>P062</x:v>
      </x:c>
      <x:c r="B63" s="13" t="str">
        <x:v>USB Keyboard</x:v>
      </x:c>
      <x:c r="C63" s="13" t="str">
        <x:v>Technology</x:v>
      </x:c>
      <x:c r="D63" s="40" t="n">
        <x:v>87.5</x:v>
      </x:c>
      <x:c r="E63" s="40" t="n">
        <x:v>48.35</x:v>
      </x:c>
      <x:c r="F63" s="13" t="n">
        <x:v>150</x:v>
      </x:c>
      <x:c r="G63" s="13" t="n">
        <x:v>25</x:v>
      </x:c>
    </x:row>
    <x:row r="64">
      <x:c r="A64" s="13" t="str">
        <x:v>P063</x:v>
      </x:c>
      <x:c r="B64" s="13" t="str">
        <x:v>USB-C Hub 6 Port</x:v>
      </x:c>
      <x:c r="C64" s="13" t="str">
        <x:v>Technology</x:v>
      </x:c>
      <x:c r="D64" s="40" t="n">
        <x:v>85.92</x:v>
      </x:c>
      <x:c r="E64" s="40" t="n">
        <x:v>58.42</x:v>
      </x:c>
      <x:c r="F64" s="13" t="n">
        <x:v>48</x:v>
      </x:c>
      <x:c r="G64" s="13" t="n">
        <x:v>20</x:v>
      </x:c>
    </x:row>
    <x:row r="65">
      <x:c r="A65" s="13" t="str">
        <x:v>P064</x:v>
      </x:c>
      <x:c r="B65" s="13" t="str">
        <x:v>1080p Webcam</x:v>
      </x:c>
      <x:c r="C65" s="13" t="str">
        <x:v>Technology</x:v>
      </x:c>
      <x:c r="D65" s="40" t="n">
        <x:v>36.07</x:v>
      </x:c>
      <x:c r="E65" s="40" t="n">
        <x:v>21.31</x:v>
      </x:c>
      <x:c r="F65" s="13" t="n">
        <x:v>84</x:v>
      </x:c>
      <x:c r="G65" s="13" t="n">
        <x:v>40</x:v>
      </x:c>
    </x:row>
    <x:row r="66">
      <x:c r="A66" s="13" t="str">
        <x:v>P065</x:v>
      </x:c>
      <x:c r="B66" s="13" t="str">
        <x:v>Noise Cancelling Headset</x:v>
      </x:c>
      <x:c r="C66" s="13" t="str">
        <x:v>Technology</x:v>
      </x:c>
      <x:c r="D66" s="40" t="n">
        <x:v>31.76</x:v>
      </x:c>
      <x:c r="E66" s="40" t="n">
        <x:v>17.95</x:v>
      </x:c>
      <x:c r="F66" s="13" t="n">
        <x:v>16</x:v>
      </x:c>
      <x:c r="G66" s="13" t="n">
        <x:v>30</x:v>
      </x:c>
    </x:row>
    <x:row r="67">
      <x:c r="A67" s="13" t="str">
        <x:v>P066</x:v>
      </x:c>
      <x:c r="B67" s="13" t="str">
        <x:v>USB-C Charger 65W</x:v>
      </x:c>
      <x:c r="C67" s="13" t="str">
        <x:v>Technology</x:v>
      </x:c>
      <x:c r="D67" s="40" t="n">
        <x:v>32.55</x:v>
      </x:c>
      <x:c r="E67" s="40" t="n">
        <x:v>15.83</x:v>
      </x:c>
      <x:c r="F67" s="13" t="n">
        <x:v>142</x:v>
      </x:c>
      <x:c r="G67" s="13" t="n">
        <x:v>40</x:v>
      </x:c>
    </x:row>
    <x:row r="68">
      <x:c r="A68" s="13" t="str">
        <x:v>P067</x:v>
      </x:c>
      <x:c r="B68" s="13" t="str">
        <x:v>HDMI Cable 2 m</x:v>
      </x:c>
      <x:c r="C68" s="13" t="str">
        <x:v>Technology</x:v>
      </x:c>
      <x:c r="D68" s="40" t="n">
        <x:v>39.47</x:v>
      </x:c>
      <x:c r="E68" s="40" t="n">
        <x:v>25.55</x:v>
      </x:c>
      <x:c r="F68" s="13" t="n">
        <x:v>49</x:v>
      </x:c>
      <x:c r="G68" s="13" t="n">
        <x:v>30</x:v>
      </x:c>
    </x:row>
    <x:row r="69">
      <x:c r="A69" s="13" t="str">
        <x:v>P068</x:v>
      </x:c>
      <x:c r="B69" s="13" t="str">
        <x:v>Portable SSD 1 TB</x:v>
      </x:c>
      <x:c r="C69" s="13" t="str">
        <x:v>Technology</x:v>
      </x:c>
      <x:c r="D69" s="40" t="n">
        <x:v>50.69</x:v>
      </x:c>
      <x:c r="E69" s="40" t="n">
        <x:v>23.54</x:v>
      </x:c>
      <x:c r="F69" s="13" t="n">
        <x:v>156</x:v>
      </x:c>
      <x:c r="G69" s="13" t="n">
        <x:v>25</x:v>
      </x:c>
    </x:row>
    <x:row r="70">
      <x:c r="A70" s="13" t="str">
        <x:v>P069</x:v>
      </x:c>
      <x:c r="B70" s="13" t="str">
        <x:v>USB Flash Drive 128 GB</x:v>
      </x:c>
      <x:c r="C70" s="13" t="str">
        <x:v>Technology</x:v>
      </x:c>
      <x:c r="D70" s="40" t="n">
        <x:v>59</x:v>
      </x:c>
      <x:c r="E70" s="40" t="n">
        <x:v>33.9</x:v>
      </x:c>
      <x:c r="F70" s="13" t="n">
        <x:v>73</x:v>
      </x:c>
      <x:c r="G70" s="13" t="n">
        <x:v>20</x:v>
      </x:c>
    </x:row>
    <x:row r="71">
      <x:c r="A71" s="13" t="str">
        <x:v>P070</x:v>
      </x:c>
      <x:c r="B71" s="13" t="str">
        <x:v>Wireless Presenter</x:v>
      </x:c>
      <x:c r="C71" s="13" t="str">
        <x:v>Technology</x:v>
      </x:c>
      <x:c r="D71" s="40" t="n">
        <x:v>36.65</x:v>
      </x:c>
      <x:c r="E71" s="40" t="n">
        <x:v>23.08</x:v>
      </x:c>
      <x:c r="F71" s="13" t="n">
        <x:v>173</x:v>
      </x:c>
      <x:c r="G71" s="13" t="n">
        <x:v>30</x:v>
      </x:c>
    </x:row>
    <x:row r="72">
      <x:c r="A72" s="13" t="str">
        <x:v>P071</x:v>
      </x:c>
      <x:c r="B72" s="13" t="str">
        <x:v>Laptop Sleeve 15 Inch</x:v>
      </x:c>
      <x:c r="C72" s="13" t="str">
        <x:v>Technology</x:v>
      </x:c>
      <x:c r="D72" s="40" t="n">
        <x:v>66.69</x:v>
      </x:c>
      <x:c r="E72" s="40" t="n">
        <x:v>40.69</x:v>
      </x:c>
      <x:c r="F72" s="13" t="n">
        <x:v>148</x:v>
      </x:c>
      <x:c r="G72" s="13" t="n">
        <x:v>25</x:v>
      </x:c>
    </x:row>
    <x:row r="73">
      <x:c r="A73" s="13" t="str">
        <x:v>P072</x:v>
      </x:c>
      <x:c r="B73" s="13" t="str">
        <x:v>Ethernet Adapter USB-C</x:v>
      </x:c>
      <x:c r="C73" s="13" t="str">
        <x:v>Technology</x:v>
      </x:c>
      <x:c r="D73" s="40" t="n">
        <x:v>38.37</x:v>
      </x:c>
      <x:c r="E73" s="40" t="n">
        <x:v>21.43</x:v>
      </x:c>
      <x:c r="F73" s="13" t="n">
        <x:v>94</x:v>
      </x:c>
      <x:c r="G73" s="13" t="n">
        <x:v>25</x:v>
      </x:c>
    </x:row>
    <x:row r="74">
      <x:c r="A74" s="13" t="str">
        <x:v>P073</x:v>
      </x:c>
      <x:c r="B74" s="13" t="str">
        <x:v>Surge Protector 8 Outlet</x:v>
      </x:c>
      <x:c r="C74" s="13" t="str">
        <x:v>Technology</x:v>
      </x:c>
      <x:c r="D74" s="40" t="n">
        <x:v>78.14</x:v>
      </x:c>
      <x:c r="E74" s="40" t="n">
        <x:v>44.24</x:v>
      </x:c>
      <x:c r="F74" s="13" t="n">
        <x:v>102</x:v>
      </x:c>
      <x:c r="G74" s="13" t="n">
        <x:v>50</x:v>
      </x:c>
    </x:row>
    <x:row r="75">
      <x:c r="A75" s="13" t="str">
        <x:v>P074</x:v>
      </x:c>
      <x:c r="B75" s="13" t="str">
        <x:v>Bluetooth Speakerphone</x:v>
      </x:c>
      <x:c r="C75" s="13" t="str">
        <x:v>Technology</x:v>
      </x:c>
      <x:c r="D75" s="40" t="n">
        <x:v>24.37</x:v>
      </x:c>
      <x:c r="E75" s="40" t="n">
        <x:v>16.34</x:v>
      </x:c>
      <x:c r="F75" s="13" t="n">
        <x:v>149</x:v>
      </x:c>
      <x:c r="G75" s="13" t="n">
        <x:v>20</x:v>
      </x:c>
    </x:row>
    <x:row r="76">
      <x:c r="A76" s="13" t="str">
        <x:v>P075</x:v>
      </x:c>
      <x:c r="B76" s="13" t="str">
        <x:v>Document Scanner Compact</x:v>
      </x:c>
      <x:c r="C76" s="13" t="str">
        <x:v>Technology</x:v>
      </x:c>
      <x:c r="D76" s="40" t="n">
        <x:v>34.28</x:v>
      </x:c>
      <x:c r="E76" s="40" t="n">
        <x:v>18.05</x:v>
      </x:c>
      <x:c r="F76" s="13" t="n">
        <x:v>160</x:v>
      </x:c>
      <x:c r="G76" s="13" t="n">
        <x:v>30</x:v>
      </x:c>
    </x:row>
  </x:sheetData>
  <x:conditionalFormatting sqref="F2:F76">
    <x:cfRule type="expression" dxfId="1" priority="1">
      <x:formula>F2&lt;G2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e09739ae8044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4" t="str">
        <x:v>CustomerID</x:v>
      </x:c>
      <x:c r="B1" s="34" t="str">
        <x:v>CustomerName</x:v>
      </x:c>
      <x:c r="C1" s="34" t="str">
        <x:v>City</x:v>
      </x:c>
      <x:c r="D1" s="34" t="str">
        <x:v>Province</x:v>
      </x:c>
      <x:c r="E1" s="34" t="str">
        <x:v>Email</x:v>
      </x:c>
      <x:c r="F1" s="34" t="str">
        <x:v>Segment</x:v>
      </x:c>
      <x:c r="G1" s="34" t="str">
        <x:v>JoinDate</x:v>
      </x:c>
    </x:row>
    <x:row r="2">
      <x:c r="A2" s="13" t="str">
        <x:v>C001</x:v>
      </x:c>
      <x:c r="B2" s="13" t="str">
        <x:v>Beacon Nonprofit Society</x:v>
      </x:c>
      <x:c r="C2" s="13" t="str">
        <x:v>Montreal</x:v>
      </x:c>
      <x:c r="D2" s="13" t="str">
        <x:v>QC</x:v>
      </x:c>
      <x:c r="E2" s="13" t="str">
        <x:v>beacon.nonprofit.society@example.com</x:v>
      </x:c>
      <x:c r="F2" s="13" t="str">
        <x:v>Nonprofit</x:v>
      </x:c>
      <x:c r="G2" s="36" t="n">
        <x:v>45862</x:v>
      </x:c>
    </x:row>
    <x:row r="3">
      <x:c r="A3" s="13" t="str">
        <x:v>C002</x:v>
      </x:c>
      <x:c r="B3" s="13" t="str">
        <x:v>Evergreen Manufacturing</x:v>
      </x:c>
      <x:c r="C3" s="13" t="str">
        <x:v>Halifax</x:v>
      </x:c>
      <x:c r="D3" s="13" t="str">
        <x:v>NS</x:v>
      </x:c>
      <x:c r="E3" s="13" t="str">
        <x:v>evergreen.manufacturing@example.com</x:v>
      </x:c>
      <x:c r="F3" s="13" t="str">
        <x:v>Corporate</x:v>
      </x:c>
      <x:c r="G3" s="36" t="n">
        <x:v>46068</x:v>
      </x:c>
    </x:row>
    <x:row r="4">
      <x:c r="A4" s="13" t="str">
        <x:v>C003</x:v>
      </x:c>
      <x:c r="B4" s="13" t="str">
        <x:v>Clearwater Legal Services</x:v>
      </x:c>
      <x:c r="C4" s="13" t="str">
        <x:v>Montreal</x:v>
      </x:c>
      <x:c r="D4" s="13" t="str">
        <x:v>QC</x:v>
      </x:c>
      <x:c r="E4" s="13" t="str">
        <x:v>clearwater.legal.services@example.com</x:v>
      </x:c>
      <x:c r="F4" s="13" t="str">
        <x:v>Nonprofit</x:v>
      </x:c>
      <x:c r="G4" s="36" t="n">
        <x:v>45183</x:v>
      </x:c>
    </x:row>
    <x:row r="5">
      <x:c r="A5" s="13" t="str">
        <x:v>C004</x:v>
      </x:c>
      <x:c r="B5" s="13" t="str">
        <x:v>Harbour Technology</x:v>
      </x:c>
      <x:c r="C5" s="13" t="str">
        <x:v>Hamilton</x:v>
      </x:c>
      <x:c r="D5" s="13" t="str">
        <x:v>ON</x:v>
      </x:c>
      <x:c r="E5" s="13" t="str">
        <x:v>harbour.technology@example.com</x:v>
      </x:c>
      <x:c r="F5" s="13" t="str">
        <x:v>Nonprofit</x:v>
      </x:c>
      <x:c r="G5" s="36" t="n">
        <x:v>45260</x:v>
      </x:c>
    </x:row>
    <x:row r="6">
      <x:c r="A6" s="13" t="str">
        <x:v>C005</x:v>
      </x:c>
      <x:c r="B6" s="13" t="str">
        <x:v>Silver Birch Property Services</x:v>
      </x:c>
      <x:c r="C6" s="13" t="str">
        <x:v>Kitchener</x:v>
      </x:c>
      <x:c r="D6" s="13" t="str">
        <x:v>ON</x:v>
      </x:c>
      <x:c r="E6" s="13" t="str">
        <x:v>silver.birch.property.services@example.com</x:v>
      </x:c>
      <x:c r="F6" s="13" t="str">
        <x:v>Corporate</x:v>
      </x:c>
      <x:c r="G6" s="36" t="n">
        <x:v>45584</x:v>
      </x:c>
    </x:row>
    <x:row r="7">
      <x:c r="A7" s="13" t="str">
        <x:v>C006</x:v>
      </x:c>
      <x:c r="B7" s="13" t="str">
        <x:v>Harbour Media</x:v>
      </x:c>
      <x:c r="C7" s="13" t="str">
        <x:v>Montreal</x:v>
      </x:c>
      <x:c r="D7" s="13" t="str">
        <x:v>QC</x:v>
      </x:c>
      <x:c r="E7" s="13" t="str">
        <x:v>harbour.media@example.com</x:v>
      </x:c>
      <x:c r="F7" s="13" t="str">
        <x:v>Small Business</x:v>
      </x:c>
      <x:c r="G7" s="36" t="n">
        <x:v>45522</x:v>
      </x:c>
    </x:row>
    <x:row r="8">
      <x:c r="A8" s="13" t="str">
        <x:v>C007</x:v>
      </x:c>
      <x:c r="B8" s="13" t="str">
        <x:v>Redwood Media</x:v>
      </x:c>
      <x:c r="C8" s="13" t="str">
        <x:v>Hamilton</x:v>
      </x:c>
      <x:c r="D8" s="13" t="str">
        <x:v>ON</x:v>
      </x:c>
      <x:c r="E8" s="13" t="str">
        <x:v>redwood.media@example.com</x:v>
      </x:c>
      <x:c r="F8" s="13" t="str">
        <x:v>Small Business</x:v>
      </x:c>
      <x:c r="G8" s="36" t="n">
        <x:v>44575</x:v>
      </x:c>
    </x:row>
    <x:row r="9">
      <x:c r="A9" s="13" t="str">
        <x:v>C008</x:v>
      </x:c>
      <x:c r="B9" s="13" t="str">
        <x:v>Harbour Nonprofit Society</x:v>
      </x:c>
      <x:c r="C9" s="13" t="str">
        <x:v>London</x:v>
      </x:c>
      <x:c r="D9" s="13" t="str">
        <x:v>ON</x:v>
      </x:c>
      <x:c r="E9" s="13" t="str">
        <x:v>harbour.nonprofit.society@example.com</x:v>
      </x:c>
      <x:c r="F9" s="13" t="str">
        <x:v>Corporate</x:v>
      </x:c>
      <x:c r="G9" s="36" t="n">
        <x:v>45219</x:v>
      </x:c>
    </x:row>
    <x:row r="10">
      <x:c r="A10" s="13" t="str">
        <x:v>C009</x:v>
      </x:c>
      <x:c r="B10" s="13" t="str">
        <x:v>BrightPath Media</x:v>
      </x:c>
      <x:c r="C10" s="13" t="str">
        <x:v>Halifax</x:v>
      </x:c>
      <x:c r="D10" s="13" t="str">
        <x:v>NS</x:v>
      </x:c>
      <x:c r="E10" s="13" t="str">
        <x:v>brightpath.media@example.com</x:v>
      </x:c>
      <x:c r="F10" s="13" t="str">
        <x:v>Corporate</x:v>
      </x:c>
      <x:c r="G10" s="36" t="n">
        <x:v>45455</x:v>
      </x:c>
    </x:row>
    <x:row r="11">
      <x:c r="A11" s="13" t="str">
        <x:v>C010</x:v>
      </x:c>
      <x:c r="B11" s="13" t="str">
        <x:v>Summit Retail</x:v>
      </x:c>
      <x:c r="C11" s="13" t="str">
        <x:v>Calgary</x:v>
      </x:c>
      <x:c r="D11" s="13" t="str">
        <x:v>AB</x:v>
      </x:c>
      <x:c r="E11" s="13" t="str">
        <x:v>summit.retail@example.com</x:v>
      </x:c>
      <x:c r="F11" s="13" t="str">
        <x:v>Small Business</x:v>
      </x:c>
      <x:c r="G11" s="36" t="n">
        <x:v>44869</x:v>
      </x:c>
    </x:row>
    <x:row r="12">
      <x:c r="A12" s="13" t="str">
        <x:v>C011</x:v>
      </x:c>
      <x:c r="B12" s="13" t="str">
        <x:v>Silver Birch Engineering</x:v>
      </x:c>
      <x:c r="C12" s="13" t="str">
        <x:v>Vancouver</x:v>
      </x:c>
      <x:c r="D12" s="13" t="str">
        <x:v>BC</x:v>
      </x:c>
      <x:c r="E12" s="13" t="str">
        <x:v>silver.birch.engineering@example.com</x:v>
      </x:c>
      <x:c r="F12" s="13" t="str">
        <x:v>Education</x:v>
      </x:c>
      <x:c r="G12" s="36" t="n">
        <x:v>45971</x:v>
      </x:c>
    </x:row>
    <x:row r="13">
      <x:c r="A13" s="13" t="str">
        <x:v>C012</x:v>
      </x:c>
      <x:c r="B13" s="13" t="str">
        <x:v>Summit Nonprofit Society</x:v>
      </x:c>
      <x:c r="C13" s="13" t="str">
        <x:v>Montreal</x:v>
      </x:c>
      <x:c r="D13" s="13" t="str">
        <x:v>QC</x:v>
      </x:c>
      <x:c r="E13" s="13" t="str">
        <x:v>summit.nonprofit.society@example.com</x:v>
      </x:c>
      <x:c r="F13" s="13" t="str">
        <x:v>Small Business</x:v>
      </x:c>
      <x:c r="G13" s="36" t="n">
        <x:v>44914</x:v>
      </x:c>
    </x:row>
    <x:row r="14">
      <x:c r="A14" s="13" t="str">
        <x:v>C013</x:v>
      </x:c>
      <x:c r="B14" s="13" t="str">
        <x:v>Brookside Nonprofit Society</x:v>
      </x:c>
      <x:c r="C14" s="13" t="str">
        <x:v>Montreal</x:v>
      </x:c>
      <x:c r="D14" s="13" t="str">
        <x:v>QC</x:v>
      </x:c>
      <x:c r="E14" s="13" t="str">
        <x:v>brookside.nonprofit.society@example.com</x:v>
      </x:c>
      <x:c r="F14" s="13" t="str">
        <x:v>Corporate</x:v>
      </x:c>
      <x:c r="G14" s="36" t="n">
        <x:v>44981</x:v>
      </x:c>
    </x:row>
    <x:row r="15">
      <x:c r="A15" s="13" t="str">
        <x:v>C014</x:v>
      </x:c>
      <x:c r="B15" s="13" t="str">
        <x:v>Stonebridge Learning Centre</x:v>
      </x:c>
      <x:c r="C15" s="13" t="str">
        <x:v>Hamilton</x:v>
      </x:c>
      <x:c r="D15" s="13" t="str">
        <x:v>ON</x:v>
      </x:c>
      <x:c r="E15" s="13" t="str">
        <x:v>stonebridge.learning.centre@example.com</x:v>
      </x:c>
      <x:c r="F15" s="13" t="str">
        <x:v>Corporate</x:v>
      </x:c>
      <x:c r="G15" s="36" t="n">
        <x:v>45740</x:v>
      </x:c>
    </x:row>
    <x:row r="16">
      <x:c r="A16" s="13" t="str">
        <x:v>C015</x:v>
      </x:c>
      <x:c r="B16" s="13" t="str">
        <x:v>BrightPath Learning Centre</x:v>
      </x:c>
      <x:c r="C16" s="13" t="str">
        <x:v>Hamilton</x:v>
      </x:c>
      <x:c r="D16" s="13" t="str">
        <x:v>ON</x:v>
      </x:c>
      <x:c r="E16" s="13" t="str">
        <x:v>brightpath.learning.centre@example.com</x:v>
      </x:c>
      <x:c r="F16" s="13" t="str">
        <x:v>Corporate</x:v>
      </x:c>
      <x:c r="G16" s="36" t="n">
        <x:v>45691</x:v>
      </x:c>
    </x:row>
    <x:row r="17">
      <x:c r="A17" s="13" t="str">
        <x:v>C016</x:v>
      </x:c>
      <x:c r="B17" s="13" t="str">
        <x:v>Beacon Property Services</x:v>
      </x:c>
      <x:c r="C17" s="13" t="str">
        <x:v>Hamilton</x:v>
      </x:c>
      <x:c r="D17" s="13" t="str">
        <x:v>ON</x:v>
      </x:c>
      <x:c r="E17" s="13" t="str">
        <x:v>beacon.property.services@example.com</x:v>
      </x:c>
      <x:c r="F17" s="13" t="str">
        <x:v>Corporate</x:v>
      </x:c>
      <x:c r="G17" s="36" t="n">
        <x:v>46224</x:v>
      </x:c>
    </x:row>
    <x:row r="18">
      <x:c r="A18" s="13" t="str">
        <x:v>C017</x:v>
      </x:c>
      <x:c r="B18" s="13" t="str">
        <x:v>  Bluebird Learning Centre </x:v>
      </x:c>
      <x:c r="C18" s="13" t="str">
        <x:v>London</x:v>
      </x:c>
      <x:c r="D18" s="13" t="str">
        <x:v>ON</x:v>
      </x:c>
      <x:c r="E18" s="13" t="str">
        <x:v>bluebird.learning.centre@example.com</x:v>
      </x:c>
      <x:c r="F18" s="13" t="str">
        <x:v>Corporate</x:v>
      </x:c>
      <x:c r="G18" s="36" t="n">
        <x:v>45068</x:v>
      </x:c>
    </x:row>
    <x:row r="19">
      <x:c r="A19" s="13" t="str">
        <x:v>C018</x:v>
      </x:c>
      <x:c r="B19" s="13" t="str">
        <x:v>Stonebridge Events</x:v>
      </x:c>
      <x:c r="C19" s="13" t="str">
        <x:v>Montreal</x:v>
      </x:c>
      <x:c r="D19" s="13" t="str">
        <x:v>QC</x:v>
      </x:c>
      <x:c r="E19" s="13" t="str">
        <x:v>stonebridge.events@example.com</x:v>
      </x:c>
      <x:c r="F19" s="13" t="str">
        <x:v>Nonprofit</x:v>
      </x:c>
      <x:c r="G19" s="36" t="n">
        <x:v>45100</x:v>
      </x:c>
    </x:row>
    <x:row r="20">
      <x:c r="A20" s="13" t="str">
        <x:v>C019</x:v>
      </x:c>
      <x:c r="B20" s="13" t="str">
        <x:v>Elmwood Community Services</x:v>
      </x:c>
      <x:c r="C20" s="13" t="str">
        <x:v>Hamilton</x:v>
      </x:c>
      <x:c r="D20" s="13" t="str">
        <x:v>ON</x:v>
      </x:c>
      <x:c r="E20" s="13" t="str">
        <x:v>elmwood.community.services@example.com</x:v>
      </x:c>
      <x:c r="F20" s="13" t="str">
        <x:v>Education</x:v>
      </x:c>
      <x:c r="G20" s="36" t="n">
        <x:v>45029</x:v>
      </x:c>
    </x:row>
    <x:row r="21">
      <x:c r="A21" s="13" t="str">
        <x:v>C020</x:v>
      </x:c>
      <x:c r="B21" s="13" t="str">
        <x:v>Fairway Nonprofit Society</x:v>
      </x:c>
      <x:c r="C21" s="13" t="str">
        <x:v>Hamilton</x:v>
      </x:c>
      <x:c r="D21" s="13" t="str">
        <x:v>ON</x:v>
      </x:c>
      <x:c r="E21" s="13" t="str">
        <x:v>fairway.nonprofit.society@example.com</x:v>
      </x:c>
      <x:c r="F21" s="13" t="str">
        <x:v>Nonprofit</x:v>
      </x:c>
      <x:c r="G21" s="36" t="n">
        <x:v>45069</x:v>
      </x:c>
    </x:row>
    <x:row r="22">
      <x:c r="A22" s="13" t="str">
        <x:v>C021</x:v>
      </x:c>
      <x:c r="B22" s="13" t="str">
        <x:v>Maple Retail</x:v>
      </x:c>
      <x:c r="C22" s="13" t="str">
        <x:v>Toronto</x:v>
      </x:c>
      <x:c r="D22" s="13" t="str">
        <x:v>ON</x:v>
      </x:c>
      <x:c r="E22" s="13" t="str">
        <x:v>maple.retail@example.com</x:v>
      </x:c>
      <x:c r="F22" s="13" t="str">
        <x:v>Small Business</x:v>
      </x:c>
      <x:c r="G22" s="36" t="n">
        <x:v>44966</x:v>
      </x:c>
    </x:row>
    <x:row r="23">
      <x:c r="A23" s="13" t="str">
        <x:v>C022</x:v>
      </x:c>
      <x:c r="B23" s="13" t="str">
        <x:v>Highland Technology</x:v>
      </x:c>
      <x:c r="C23" s="13" t="str">
        <x:v>Montreal</x:v>
      </x:c>
      <x:c r="D23" s="13" t="str">
        <x:v>QC</x:v>
      </x:c>
      <x:c r="E23" s="13" t="str">
        <x:v>highland.technology@example.com</x:v>
      </x:c>
      <x:c r="F23" s="13" t="str">
        <x:v>Corporate</x:v>
      </x:c>
      <x:c r="G23" s="36" t="n">
        <x:v>45803</x:v>
      </x:c>
    </x:row>
    <x:row r="24">
      <x:c r="A24" s="13" t="str">
        <x:v>C023</x:v>
      </x:c>
      <x:c r="B24" s="13" t="str">
        <x:v>Lakeside Retail</x:v>
      </x:c>
      <x:c r="C24" s="13" t="str">
        <x:v>Calgary</x:v>
      </x:c>
      <x:c r="D24" s="13" t="str">
        <x:v>AB</x:v>
      </x:c>
      <x:c r="E24" s="13" t="str">
        <x:v>lakeside.retail@example.com</x:v>
      </x:c>
      <x:c r="F24" s="13" t="str">
        <x:v>Nonprofit</x:v>
      </x:c>
      <x:c r="G24" s="36" t="n">
        <x:v>45305</x:v>
      </x:c>
    </x:row>
    <x:row r="25">
      <x:c r="A25" s="13" t="str">
        <x:v>C024</x:v>
      </x:c>
      <x:c r="B25" s="13" t="str">
        <x:v>Meadow Dental Group</x:v>
      </x:c>
      <x:c r="C25" s="13" t="str">
        <x:v>Calgary</x:v>
      </x:c>
      <x:c r="D25" s="13" t="str">
        <x:v>AB</x:v>
      </x:c>
      <x:c r="E25" s="13" t="str">
        <x:v>meadow.dental.group@example.com</x:v>
      </x:c>
      <x:c r="F25" s="13" t="str">
        <x:v>Education</x:v>
      </x:c>
      <x:c r="G25" s="36" t="n">
        <x:v>45196</x:v>
      </x:c>
    </x:row>
    <x:row r="26">
      <x:c r="A26" s="13" t="str">
        <x:v>C025</x:v>
      </x:c>
      <x:c r="B26" s="13" t="str">
        <x:v>BrightPath Accounting</x:v>
      </x:c>
      <x:c r="C26" s="13" t="str">
        <x:v>Halifax</x:v>
      </x:c>
      <x:c r="D26" s="13" t="str">
        <x:v>NS</x:v>
      </x:c>
      <x:c r="E26" s="13" t="str">
        <x:v>brightpath.accounting@example.com</x:v>
      </x:c>
      <x:c r="F26" s="13" t="str">
        <x:v>Small Business</x:v>
      </x:c>
      <x:c r="G26" s="36" t="n">
        <x:v>45628</x:v>
      </x:c>
    </x:row>
    <x:row r="27">
      <x:c r="A27" s="13" t="str">
        <x:v>C026</x:v>
      </x:c>
      <x:c r="B27" s="13" t="str">
        <x:v>Bluebird Architecture</x:v>
      </x:c>
      <x:c r="C27" s="13" t="str">
        <x:v>London</x:v>
      </x:c>
      <x:c r="D27" s="13" t="str">
        <x:v>ON</x:v>
      </x:c>
      <x:c r="E27" s="13" t="str">
        <x:v>bluebird.architecture@example.com</x:v>
      </x:c>
      <x:c r="F27" s="13" t="str">
        <x:v>Education</x:v>
      </x:c>
      <x:c r="G27" s="36" t="n">
        <x:v>44895</x:v>
      </x:c>
    </x:row>
    <x:row r="28">
      <x:c r="A28" s="13" t="str">
        <x:v>C027</x:v>
      </x:c>
      <x:c r="B28" s="13" t="str">
        <x:v>Evergreen Logistics</x:v>
      </x:c>
      <x:c r="C28" s="13" t="str">
        <x:v>Mississauga</x:v>
      </x:c>
      <x:c r="D28" s="13" t="str">
        <x:v>ON</x:v>
      </x:c>
      <x:c r="E28" s="13" t="str">
        <x:v>evergreen.logistics@example.com</x:v>
      </x:c>
      <x:c r="F28" s="13" t="str">
        <x:v>Corporate</x:v>
      </x:c>
      <x:c r="G28" s="36" t="n">
        <x:v>44591</x:v>
      </x:c>
    </x:row>
    <x:row r="29">
      <x:c r="A29" s="13" t="str">
        <x:v>C028</x:v>
      </x:c>
      <x:c r="B29" s="13" t="str">
        <x:v>Brookside Learning Centre</x:v>
      </x:c>
      <x:c r="C29" s="13" t="str">
        <x:v>Vancouver</x:v>
      </x:c>
      <x:c r="D29" s="13" t="str">
        <x:v>BC</x:v>
      </x:c>
      <x:c r="E29" s="13" t="str">
        <x:v>brookside.learning.centre@example.com</x:v>
      </x:c>
      <x:c r="F29" s="13" t="str">
        <x:v>Education</x:v>
      </x:c>
      <x:c r="G29" s="36" t="n">
        <x:v>46008</x:v>
      </x:c>
    </x:row>
    <x:row r="30">
      <x:c r="A30" s="13" t="str">
        <x:v>C029</x:v>
      </x:c>
      <x:c r="B30" s="13" t="str">
        <x:v>KINGFISHER LEGAL SERVICES</x:v>
      </x:c>
      <x:c r="C30" s="13" t="str">
        <x:v>London</x:v>
      </x:c>
      <x:c r="D30" s="13" t="str">
        <x:v>ON</x:v>
      </x:c>
      <x:c r="E30" s="13" t="str">
        <x:v>kingfisher.legal.services@example.com</x:v>
      </x:c>
      <x:c r="F30" s="13" t="str">
        <x:v>Nonprofit</x:v>
      </x:c>
      <x:c r="G30" s="36" t="n">
        <x:v>45955</x:v>
      </x:c>
    </x:row>
    <x:row r="31">
      <x:c r="A31" s="13" t="str">
        <x:v>C030</x:v>
      </x:c>
      <x:c r="B31" s="13" t="str">
        <x:v>Brookside Community Services</x:v>
      </x:c>
      <x:c r="C31" s="13" t="str">
        <x:v>Halifax</x:v>
      </x:c>
      <x:c r="D31" s="13" t="str">
        <x:v>NS</x:v>
      </x:c>
      <x:c r="E31" s="13" t="str">
        <x:v>brookside.community.services@example.com</x:v>
      </x:c>
      <x:c r="F31" s="13" t="str">
        <x:v>Small Business</x:v>
      </x:c>
      <x:c r="G31" s="36" t="n">
        <x:v>45930</x:v>
      </x:c>
    </x:row>
    <x:row r="32">
      <x:c r="A32" s="13" t="str">
        <x:v>C031</x:v>
      </x:c>
      <x:c r="B32" s="13" t="str">
        <x:v>Oakline Events</x:v>
      </x:c>
      <x:c r="C32" s="13" t="str">
        <x:v>Kitchener</x:v>
      </x:c>
      <x:c r="D32" s="13" t="str">
        <x:v>ON</x:v>
      </x:c>
      <x:c r="E32" s="13" t="str">
        <x:v>oakline.events@example.com</x:v>
      </x:c>
      <x:c r="F32" s="13" t="str">
        <x:v>Small Business</x:v>
      </x:c>
      <x:c r="G32" s="36" t="n">
        <x:v>45296</x:v>
      </x:c>
    </x:row>
    <x:row r="33">
      <x:c r="A33" s="13" t="str">
        <x:v>C032</x:v>
      </x:c>
      <x:c r="B33" s="13" t="str">
        <x:v>Meadow Community Services</x:v>
      </x:c>
      <x:c r="C33" s="13" t="str">
        <x:v>Hamilton</x:v>
      </x:c>
      <x:c r="D33" s="13" t="str">
        <x:v>ON</x:v>
      </x:c>
      <x:c r="E33" s="13" t="str">
        <x:v>meadow.community.services@example.com</x:v>
      </x:c>
      <x:c r="F33" s="13" t="str">
        <x:v>Small Business</x:v>
      </x:c>
      <x:c r="G33" s="36" t="n">
        <x:v>46101</x:v>
      </x:c>
    </x:row>
    <x:row r="34">
      <x:c r="A34" s="13" t="str">
        <x:v>C033</x:v>
      </x:c>
      <x:c r="B34" s="13" t="str">
        <x:v>Maple Wellness Centre</x:v>
      </x:c>
      <x:c r="C34" s="13" t="str">
        <x:v>Ottawa</x:v>
      </x:c>
      <x:c r="D34" s="13" t="str">
        <x:v>ON</x:v>
      </x:c>
      <x:c r="E34" s="13" t="str">
        <x:v>maple.wellness.centre@example.com</x:v>
      </x:c>
      <x:c r="F34" s="13" t="str">
        <x:v>Nonprofit</x:v>
      </x:c>
      <x:c r="G34" s="36" t="n">
        <x:v>45427</x:v>
      </x:c>
    </x:row>
    <x:row r="35">
      <x:c r="A35" s="13" t="str">
        <x:v>C034</x:v>
      </x:c>
      <x:c r="B35" s="13" t="str">
        <x:v>Cedar Accounting</x:v>
      </x:c>
      <x:c r="C35" s="13" t="str">
        <x:v>Ottawa</x:v>
      </x:c>
      <x:c r="D35" s="13" t="str">
        <x:v>ON</x:v>
      </x:c>
      <x:c r="E35" s="13" t="str">
        <x:v>cedar.accounting@example.com</x:v>
      </x:c>
      <x:c r="F35" s="13" t="str">
        <x:v>Small Business</x:v>
      </x:c>
      <x:c r="G35" s="36" t="n">
        <x:v>45818</x:v>
      </x:c>
    </x:row>
    <x:row r="36">
      <x:c r="A36" s="13" t="str">
        <x:v>C035</x:v>
      </x:c>
      <x:c r="B36" s="13" t="str">
        <x:v>Elmwood Architecture</x:v>
      </x:c>
      <x:c r="C36" s="13" t="str">
        <x:v>Mississauga</x:v>
      </x:c>
      <x:c r="D36" s="13" t="str">
        <x:v>ON</x:v>
      </x:c>
      <x:c r="E36" s="13" t="str">
        <x:v>elmwood.architecture@example.com</x:v>
      </x:c>
      <x:c r="F36" s="13" t="str">
        <x:v>Education</x:v>
      </x:c>
      <x:c r="G36" s="36" t="n">
        <x:v>46086</x:v>
      </x:c>
    </x:row>
    <x:row r="37">
      <x:c r="A37" s="13" t="str">
        <x:v>C036</x:v>
      </x:c>
      <x:c r="B37" s="13" t="str">
        <x:v>Westgate Construction</x:v>
      </x:c>
      <x:c r="C37" s="13" t="str">
        <x:v>Ottawa</x:v>
      </x:c>
      <x:c r="D37" s="13" t="str">
        <x:v>ON</x:v>
      </x:c>
      <x:c r="E37" s="13" t="str">
        <x:v>westgate.construction@example.com</x:v>
      </x:c>
      <x:c r="F37" s="13" t="str">
        <x:v>Small Business</x:v>
      </x:c>
      <x:c r="G37" s="36" t="n">
        <x:v>45106</x:v>
      </x:c>
    </x:row>
    <x:row r="38">
      <x:c r="A38" s="13" t="str">
        <x:v>C037</x:v>
      </x:c>
      <x:c r="B38" s="13" t="str">
        <x:v>Clearwater Technology</x:v>
      </x:c>
      <x:c r="C38" s="13" t="str">
        <x:v>Calgary</x:v>
      </x:c>
      <x:c r="D38" s="13" t="str">
        <x:v>AB</x:v>
      </x:c>
      <x:c r="E38" s="13" t="str">
        <x:v>clearwater.technology@example.com</x:v>
      </x:c>
      <x:c r="F38" s="13" t="str">
        <x:v>Education</x:v>
      </x:c>
      <x:c r="G38" s="36" t="n">
        <x:v>45564</x:v>
      </x:c>
    </x:row>
    <x:row r="39">
      <x:c r="A39" s="13" t="str">
        <x:v>C038</x:v>
      </x:c>
      <x:c r="B39" s="13" t="str">
        <x:v>Elmwood Legal Services</x:v>
      </x:c>
      <x:c r="C39" s="13" t="str">
        <x:v>Ottawa</x:v>
      </x:c>
      <x:c r="D39" s="13" t="str">
        <x:v>ON</x:v>
      </x:c>
      <x:c r="E39" s="13" t="str">
        <x:v>elmwood.legal.services@example.com</x:v>
      </x:c>
      <x:c r="F39" s="13" t="str">
        <x:v>Corporate</x:v>
      </x:c>
      <x:c r="G39" s="36" t="n">
        <x:v>45182</x:v>
      </x:c>
    </x:row>
    <x:row r="40">
      <x:c r="A40" s="13" t="str">
        <x:v>C039</x:v>
      </x:c>
      <x:c r="B40" s="13" t="str">
        <x:v>Cedar Engineering</x:v>
      </x:c>
      <x:c r="C40" s="13" t="str">
        <x:v>Vancouver</x:v>
      </x:c>
      <x:c r="D40" s="13" t="str">
        <x:v>BC</x:v>
      </x:c>
      <x:c r="E40" s="13" t="str">
        <x:v>cedar.engineering@example.com</x:v>
      </x:c>
      <x:c r="F40" s="13" t="str">
        <x:v>Corporate</x:v>
      </x:c>
      <x:c r="G40" s="36" t="n">
        <x:v>45125</x:v>
      </x:c>
    </x:row>
    <x:row r="41">
      <x:c r="A41" s="13" t="str">
        <x:v>C040</x:v>
      </x:c>
      <x:c r="B41" s="13" t="str">
        <x:v>Beacon Accounting
</x:v>
      </x:c>
      <x:c r="C41" s="13" t="str">
        <x:v>Calgary</x:v>
      </x:c>
      <x:c r="D41" s="13" t="str">
        <x:v>AB</x:v>
      </x:c>
      <x:c r="E41" s="13" t="str">
        <x:v>beacon.accounting@example.com</x:v>
      </x:c>
      <x:c r="F41" s="13" t="str">
        <x:v>Nonprofit</x:v>
      </x:c>
      <x:c r="G41" s="36" t="n">
        <x:v>45548</x:v>
      </x:c>
    </x:row>
    <x:row r="42">
      <x:c r="A42" s="13" t="str">
        <x:v>C041</x:v>
      </x:c>
      <x:c r="B42" s="13" t="str">
        <x:v>Brookside Engineering</x:v>
      </x:c>
      <x:c r="C42" s="13" t="str">
        <x:v>Calgary</x:v>
      </x:c>
      <x:c r="D42" s="13" t="str">
        <x:v>AB</x:v>
      </x:c>
      <x:c r="E42" s="13" t="str">
        <x:v>brookside.engineering@example.com</x:v>
      </x:c>
      <x:c r="F42" s="13" t="str">
        <x:v>Corporate</x:v>
      </x:c>
      <x:c r="G42" s="36" t="n">
        <x:v>45115</x:v>
      </x:c>
    </x:row>
    <x:row r="43">
      <x:c r="A43" s="13" t="str">
        <x:v>C042</x:v>
      </x:c>
      <x:c r="B43" s="13" t="str">
        <x:v>Willow Food Services</x:v>
      </x:c>
      <x:c r="C43" s="13" t="str">
        <x:v>Vancouver</x:v>
      </x:c>
      <x:c r="D43" s="13" t="str">
        <x:v>BC</x:v>
      </x:c>
      <x:c r="E43" s="13" t="str">
        <x:v>willow.food.services@example.com</x:v>
      </x:c>
      <x:c r="F43" s="13" t="str">
        <x:v>Small Business</x:v>
      </x:c>
      <x:c r="G43" s="36" t="n">
        <x:v>45983</x:v>
      </x:c>
    </x:row>
    <x:row r="44">
      <x:c r="A44" s="13" t="str">
        <x:v>C043</x:v>
      </x:c>
      <x:c r="B44" s="13" t="str">
        <x:v>Frontier Manufacturing</x:v>
      </x:c>
      <x:c r="C44" s="13" t="str">
        <x:v>Montreal</x:v>
      </x:c>
      <x:c r="D44" s="13" t="str">
        <x:v>QC</x:v>
      </x:c>
      <x:c r="E44" s="13" t="str">
        <x:v>frontier.manufacturing@example.com</x:v>
      </x:c>
      <x:c r="F44" s="13" t="str">
        <x:v>Small Business</x:v>
      </x:c>
      <x:c r="G44" s="36" t="n">
        <x:v>46230</x:v>
      </x:c>
    </x:row>
    <x:row r="45">
      <x:c r="A45" s="13" t="str">
        <x:v>C044</x:v>
      </x:c>
      <x:c r="B45" s="13" t="str">
        <x:v>Redwood Architecture</x:v>
      </x:c>
      <x:c r="C45" s="13" t="str">
        <x:v>Calgary</x:v>
      </x:c>
      <x:c r="D45" s="13" t="str">
        <x:v>AB</x:v>
      </x:c>
      <x:c r="E45" s="13" t="str">
        <x:v>redwood.architecture@example.com</x:v>
      </x:c>
      <x:c r="F45" s="13" t="str">
        <x:v>Corporate</x:v>
      </x:c>
      <x:c r="G45" s="36" t="n">
        <x:v>45066</x:v>
      </x:c>
    </x:row>
    <x:row r="46">
      <x:c r="A46" s="13" t="str">
        <x:v>C045</x:v>
      </x:c>
      <x:c r="B46" s="13" t="str">
        <x:v>Compass Food Services</x:v>
      </x:c>
      <x:c r="C46" s="13" t="str">
        <x:v>Mississauga</x:v>
      </x:c>
      <x:c r="D46" s="13" t="str">
        <x:v>ON</x:v>
      </x:c>
      <x:c r="E46" s="13" t="str">
        <x:v>compass.food.services@example.com</x:v>
      </x:c>
      <x:c r="F46" s="13" t="str">
        <x:v>Education</x:v>
      </x:c>
      <x:c r="G46" s="36" t="n">
        <x:v>45255</x:v>
      </x:c>
    </x:row>
    <x:row r="47">
      <x:c r="A47" s="13" t="str">
        <x:v>C046</x:v>
      </x:c>
      <x:c r="B47" s="13" t="str">
        <x:v>Bluebird Engineering</x:v>
      </x:c>
      <x:c r="C47" s="13" t="str">
        <x:v>Montreal</x:v>
      </x:c>
      <x:c r="D47" s="13" t="str">
        <x:v>QC</x:v>
      </x:c>
      <x:c r="E47" s="13" t="str">
        <x:v>bluebird.engineering@example.com</x:v>
      </x:c>
      <x:c r="F47" s="13" t="str">
        <x:v>Nonprofit</x:v>
      </x:c>
      <x:c r="G47" s="36" t="n">
        <x:v>46209</x:v>
      </x:c>
    </x:row>
    <x:row r="48">
      <x:c r="A48" s="13" t="str">
        <x:v>C047</x:v>
      </x:c>
      <x:c r="B48" s="13" t="str">
        <x:v>Westgate Engineering</x:v>
      </x:c>
      <x:c r="C48" s="13" t="str">
        <x:v>Mississauga</x:v>
      </x:c>
      <x:c r="D48" s="13" t="str">
        <x:v>ON</x:v>
      </x:c>
      <x:c r="E48" s="13" t="str">
        <x:v>westgate.engineering@example.com</x:v>
      </x:c>
      <x:c r="F48" s="13" t="str">
        <x:v>Small Business</x:v>
      </x:c>
      <x:c r="G48" s="36" t="n">
        <x:v>45650</x:v>
      </x:c>
    </x:row>
    <x:row r="49">
      <x:c r="A49" s="13" t="str">
        <x:v>C048</x:v>
      </x:c>
      <x:c r="B49" s="13" t="str">
        <x:v>Stonebridge Construction</x:v>
      </x:c>
      <x:c r="C49" s="13" t="str">
        <x:v>Toronto</x:v>
      </x:c>
      <x:c r="D49" s="13" t="str">
        <x:v>ON</x:v>
      </x:c>
      <x:c r="E49" s="13" t="str">
        <x:v>stonebridge.construction@example.com</x:v>
      </x:c>
      <x:c r="F49" s="13" t="str">
        <x:v>Nonprofit</x:v>
      </x:c>
      <x:c r="G49" s="36" t="n">
        <x:v>44856</x:v>
      </x:c>
    </x:row>
    <x:row r="50">
      <x:c r="A50" s="13" t="str">
        <x:v>C049</x:v>
      </x:c>
      <x:c r="B50" s="13" t="str">
        <x:v>Kingfisher Construction</x:v>
      </x:c>
      <x:c r="C50" s="13" t="str">
        <x:v>Mississauga</x:v>
      </x:c>
      <x:c r="D50" s="13" t="str">
        <x:v>ON</x:v>
      </x:c>
      <x:c r="E50" s="13" t="str">
        <x:v>kingfisher.construction@example.com</x:v>
      </x:c>
      <x:c r="F50" s="13" t="str">
        <x:v>Education</x:v>
      </x:c>
      <x:c r="G50" s="36" t="n">
        <x:v>45037</x:v>
      </x:c>
    </x:row>
    <x:row r="51">
      <x:c r="A51" s="13" t="str">
        <x:v>C050</x:v>
      </x:c>
      <x:c r="B51" s="13" t="str">
        <x:v>Frontier Construction</x:v>
      </x:c>
      <x:c r="C51" s="13" t="str">
        <x:v>Toronto</x:v>
      </x:c>
      <x:c r="D51" s="13" t="str">
        <x:v>ON</x:v>
      </x:c>
      <x:c r="E51" s="13" t="str">
        <x:v>frontier.construction@example.com</x:v>
      </x:c>
      <x:c r="F51" s="13" t="str">
        <x:v>Small Business</x:v>
      </x:c>
      <x:c r="G51" s="36" t="n">
        <x:v>45908</x:v>
      </x:c>
    </x:row>
    <x:row r="52">
      <x:c r="A52" s="13" t="str">
        <x:v>C051</x:v>
      </x:c>
      <x:c r="B52" s="13" t="str">
        <x:v>Fairway Property Services</x:v>
      </x:c>
      <x:c r="C52" s="13" t="str">
        <x:v>Ottawa</x:v>
      </x:c>
      <x:c r="D52" s="13" t="str">
        <x:v>ON</x:v>
      </x:c>
      <x:c r="E52" s="13" t="str">
        <x:v>fairway.property.services@example.com</x:v>
      </x:c>
      <x:c r="F52" s="13" t="str">
        <x:v>Corporate</x:v>
      </x:c>
      <x:c r="G52" s="36" t="n">
        <x:v>44848</x:v>
      </x:c>
    </x:row>
    <x:row r="53">
      <x:c r="A53" s="13" t="str">
        <x:v>C052</x:v>
      </x:c>
      <x:c r="B53" s="13" t="str">
        <x:v>Clearwater Dental Group</x:v>
      </x:c>
      <x:c r="C53" s="13" t="str">
        <x:v>Calgary</x:v>
      </x:c>
      <x:c r="D53" s="13" t="str">
        <x:v>AB</x:v>
      </x:c>
      <x:c r="E53" s="13" t="str">
        <x:v>clearwater.dental.group@example.com</x:v>
      </x:c>
      <x:c r="F53" s="13" t="str">
        <x:v>Corporate</x:v>
      </x:c>
      <x:c r="G53" s="36" t="n">
        <x:v>45992</x:v>
      </x:c>
    </x:row>
    <x:row r="54">
      <x:c r="A54" s="13" t="str">
        <x:v>C053</x:v>
      </x:c>
      <x:c r="B54" s="13" t="str">
        <x:v>Highland Architecture</x:v>
      </x:c>
      <x:c r="C54" s="13" t="str">
        <x:v>Mississauga</x:v>
      </x:c>
      <x:c r="D54" s="13" t="str">
        <x:v>ON</x:v>
      </x:c>
      <x:c r="E54" s="13" t="str">
        <x:v>highland.architecture@example.com</x:v>
      </x:c>
      <x:c r="F54" s="13" t="str">
        <x:v>Corporate</x:v>
      </x:c>
      <x:c r="G54" s="36" t="n">
        <x:v>45379</x:v>
      </x:c>
    </x:row>
    <x:row r="55">
      <x:c r="A55" s="13" t="str">
        <x:v>C054</x:v>
      </x:c>
      <x:c r="B55" s="13" t="str">
        <x:v>BrightPath Wellness Centre</x:v>
      </x:c>
      <x:c r="C55" s="13" t="str">
        <x:v>Montreal</x:v>
      </x:c>
      <x:c r="D55" s="13" t="str">
        <x:v>QC</x:v>
      </x:c>
      <x:c r="E55" s="13" t="str">
        <x:v>brightpath.wellness.centre@example.com</x:v>
      </x:c>
      <x:c r="F55" s="13" t="str">
        <x:v>Nonprofit</x:v>
      </x:c>
      <x:c r="G55" s="36" t="n">
        <x:v>45293</x:v>
      </x:c>
    </x:row>
    <x:row r="56">
      <x:c r="A56" s="13" t="str">
        <x:v>C055</x:v>
      </x:c>
      <x:c r="B56" s="13" t="str">
        <x:v>Harbour Construction</x:v>
      </x:c>
      <x:c r="C56" s="13" t="str">
        <x:v>Kitchener</x:v>
      </x:c>
      <x:c r="D56" s="13" t="str">
        <x:v>ON</x:v>
      </x:c>
      <x:c r="E56" s="13" t="str">
        <x:v>harbour.construction@example.com</x:v>
      </x:c>
      <x:c r="F56" s="13" t="str">
        <x:v>Nonprofit</x:v>
      </x:c>
      <x:c r="G56" s="36" t="n">
        <x:v>44844</x:v>
      </x:c>
    </x:row>
    <x:row r="57">
      <x:c r="A57" s="13" t="str">
        <x:v>C056</x:v>
      </x:c>
      <x:c r="B57" s="13" t="str">
        <x:v>Maple Legal Services</x:v>
      </x:c>
      <x:c r="C57" s="13" t="str">
        <x:v>London</x:v>
      </x:c>
      <x:c r="D57" s="13" t="str">
        <x:v>ON</x:v>
      </x:c>
      <x:c r="E57" s="13" t="str">
        <x:v>maple.legal.services@example.com</x:v>
      </x:c>
      <x:c r="F57" s="13" t="str">
        <x:v>Small Business</x:v>
      </x:c>
      <x:c r="G57" s="36" t="n">
        <x:v>45587</x:v>
      </x:c>
    </x:row>
    <x:row r="58">
      <x:c r="A58" s="13" t="str">
        <x:v>C057</x:v>
      </x:c>
      <x:c r="B58" s="13" t="str">
        <x:v>Northfield Design Studio</x:v>
      </x:c>
      <x:c r="C58" s="13" t="str">
        <x:v>Kitchener</x:v>
      </x:c>
      <x:c r="D58" s="13" t="str">
        <x:v>ON</x:v>
      </x:c>
      <x:c r="E58" s="13" t="str">
        <x:v>northfield.design.studio@example.com</x:v>
      </x:c>
      <x:c r="F58" s="13" t="str">
        <x:v>Corporate</x:v>
      </x:c>
      <x:c r="G58" s="36" t="n">
        <x:v>44593</x:v>
      </x:c>
    </x:row>
    <x:row r="59">
      <x:c r="A59" s="13" t="str">
        <x:v>C058</x:v>
      </x:c>
      <x:c r="B59" s="13" t="str">
        <x:v>Pinecrest Community Services</x:v>
      </x:c>
      <x:c r="C59" s="13" t="str">
        <x:v>Hamilton</x:v>
      </x:c>
      <x:c r="D59" s="13" t="str">
        <x:v>ON</x:v>
      </x:c>
      <x:c r="E59" s="13" t="str">
        <x:v>pinecrest.community.services@example.com</x:v>
      </x:c>
      <x:c r="F59" s="13" t="str">
        <x:v>Education</x:v>
      </x:c>
      <x:c r="G59" s="36" t="n">
        <x:v>45404</x:v>
      </x:c>
    </x:row>
    <x:row r="60">
      <x:c r="A60" s="13" t="str">
        <x:v>C059</x:v>
      </x:c>
      <x:c r="B60" s="13" t="str">
        <x:v>Highland Events</x:v>
      </x:c>
      <x:c r="C60" s="13" t="str">
        <x:v>Calgary</x:v>
      </x:c>
      <x:c r="D60" s="13" t="str">
        <x:v>AB</x:v>
      </x:c>
      <x:c r="E60" s="13" t="str">
        <x:v>highland.events@example.com</x:v>
      </x:c>
      <x:c r="F60" s="13" t="str">
        <x:v>Education</x:v>
      </x:c>
      <x:c r="G60" s="36" t="n">
        <x:v>45496</x:v>
      </x:c>
    </x:row>
    <x:row r="61">
      <x:c r="A61" s="13" t="str">
        <x:v>C060</x:v>
      </x:c>
      <x:c r="B61" s="13" t="str">
        <x:v>Clearwater Events</x:v>
      </x:c>
      <x:c r="C61" s="13" t="str">
        <x:v>Kitchener</x:v>
      </x:c>
      <x:c r="D61" s="13" t="str">
        <x:v>ON</x:v>
      </x:c>
      <x:c r="E61" s="13" t="str">
        <x:v>clearwater.events@example.com</x:v>
      </x:c>
      <x:c r="F61" s="13" t="str">
        <x:v>Corporate</x:v>
      </x:c>
      <x:c r="G61" s="36" t="n">
        <x:v>45560</x:v>
      </x:c>
    </x:row>
    <x:row r="62">
      <x:c r="A62" s="13" t="str">
        <x:v>C061</x:v>
      </x:c>
      <x:c r="B62" s="13" t="str">
        <x:v>Granite Manufacturing</x:v>
      </x:c>
      <x:c r="C62" s="13" t="str">
        <x:v>Ottawa</x:v>
      </x:c>
      <x:c r="D62" s="13" t="str">
        <x:v>ON</x:v>
      </x:c>
      <x:c r="E62" s="13" t="str">
        <x:v>granite.manufacturing@example.com</x:v>
      </x:c>
      <x:c r="F62" s="13" t="str">
        <x:v>Nonprofit</x:v>
      </x:c>
      <x:c r="G62" s="36" t="n">
        <x:v>45748</x:v>
      </x:c>
    </x:row>
    <x:row r="63">
      <x:c r="A63" s="13" t="str">
        <x:v>C062</x:v>
      </x:c>
      <x:c r="B63" s="13" t="str">
        <x:v>Riverstone Wellness Centre</x:v>
      </x:c>
      <x:c r="C63" s="13" t="str">
        <x:v>Montreal</x:v>
      </x:c>
      <x:c r="D63" s="13" t="str">
        <x:v>QC</x:v>
      </x:c>
      <x:c r="E63" s="13" t="str">
        <x:v>riverstone.wellness.centre@example.com</x:v>
      </x:c>
      <x:c r="F63" s="13" t="str">
        <x:v>Nonprofit</x:v>
      </x:c>
      <x:c r="G63" s="36" t="n">
        <x:v>46221</x:v>
      </x:c>
    </x:row>
    <x:row r="64">
      <x:c r="A64" s="13" t="str">
        <x:v>C063</x:v>
      </x:c>
      <x:c r="B64" s="13" t="str">
        <x:v>Cedar Legal Services</x:v>
      </x:c>
      <x:c r="C64" s="13" t="str">
        <x:v>Mississauga</x:v>
      </x:c>
      <x:c r="D64" s="13" t="str">
        <x:v>ON</x:v>
      </x:c>
      <x:c r="E64" s="13" t="str">
        <x:v>cedar.legal.services@example.com</x:v>
      </x:c>
      <x:c r="F64" s="13" t="str">
        <x:v>Education</x:v>
      </x:c>
      <x:c r="G64" s="36" t="n">
        <x:v>45499</x:v>
      </x:c>
    </x:row>
    <x:row r="65">
      <x:c r="A65" s="13" t="str">
        <x:v>C064</x:v>
      </x:c>
      <x:c r="B65" s="13" t="str">
        <x:v>Kingfisher Logistics</x:v>
      </x:c>
      <x:c r="C65" s="13" t="str">
        <x:v>Calgary</x:v>
      </x:c>
      <x:c r="D65" s="13" t="str">
        <x:v>AB</x:v>
      </x:c>
      <x:c r="E65" s="13" t="str">
        <x:v>kingfisher.logistics@example.com</x:v>
      </x:c>
      <x:c r="F65" s="13" t="str">
        <x:v>Small Business</x:v>
      </x:c>
      <x:c r="G65" s="36" t="n">
        <x:v>45627</x:v>
      </x:c>
    </x:row>
    <x:row r="66">
      <x:c r="A66" s="13" t="str">
        <x:v>C065</x:v>
      </x:c>
      <x:c r="B66" s="13" t="str">
        <x:v>Bluebird Community Services</x:v>
      </x:c>
      <x:c r="C66" s="13" t="str">
        <x:v>Hamilton</x:v>
      </x:c>
      <x:c r="D66" s="13" t="str">
        <x:v>ON</x:v>
      </x:c>
      <x:c r="E66" s="13" t="str">
        <x:v>bluebird.community.services@example.com</x:v>
      </x:c>
      <x:c r="F66" s="13" t="str">
        <x:v>Education</x:v>
      </x:c>
      <x:c r="G66" s="36" t="n">
        <x:v>45942</x:v>
      </x:c>
    </x:row>
    <x:row r="67">
      <x:c r="A67" s="13" t="str">
        <x:v>C066</x:v>
      </x:c>
      <x:c r="B67" s="13" t="str">
        <x:v>Beacon Retail</x:v>
      </x:c>
      <x:c r="C67" s="13" t="str">
        <x:v>London</x:v>
      </x:c>
      <x:c r="D67" s="13" t="str">
        <x:v>ON</x:v>
      </x:c>
      <x:c r="E67" s="13" t="str">
        <x:v>beacon.retail@example.com</x:v>
      </x:c>
      <x:c r="F67" s="13" t="str">
        <x:v>Education</x:v>
      </x:c>
      <x:c r="G67" s="36" t="n">
        <x:v>44994</x:v>
      </x:c>
    </x:row>
    <x:row r="68">
      <x:c r="A68" s="13" t="str">
        <x:v>C067</x:v>
      </x:c>
      <x:c r="B68" s="13" t="str">
        <x:v>Beacon Community Services</x:v>
      </x:c>
      <x:c r="C68" s="13" t="str">
        <x:v>Montreal</x:v>
      </x:c>
      <x:c r="D68" s="13" t="str">
        <x:v>QC</x:v>
      </x:c>
      <x:c r="E68" s="13" t="str">
        <x:v>beacon.community.services@example.com</x:v>
      </x:c>
      <x:c r="F68" s="13" t="str">
        <x:v>Nonprofit</x:v>
      </x:c>
      <x:c r="G68" s="36" t="n">
        <x:v>46260</x:v>
      </x:c>
    </x:row>
    <x:row r="69">
      <x:c r="A69" s="13" t="str">
        <x:v>C068</x:v>
      </x:c>
      <x:c r="B69" s="13" t="str">
        <x:v>Maple Food Services</x:v>
      </x:c>
      <x:c r="C69" s="13" t="str">
        <x:v>Toronto</x:v>
      </x:c>
      <x:c r="D69" s="13" t="str">
        <x:v>ON</x:v>
      </x:c>
      <x:c r="E69" s="13" t="str">
        <x:v>maple.food.services@example.com</x:v>
      </x:c>
      <x:c r="F69" s="13" t="str">
        <x:v>Education</x:v>
      </x:c>
      <x:c r="G69" s="36" t="n">
        <x:v>45200</x:v>
      </x:c>
    </x:row>
    <x:row r="70">
      <x:c r="A70" s="13" t="str">
        <x:v>C069</x:v>
      </x:c>
      <x:c r="B70" s="13" t="str">
        <x:v>Highland Manufacturing</x:v>
      </x:c>
      <x:c r="C70" s="13" t="str">
        <x:v>Vancouver</x:v>
      </x:c>
      <x:c r="D70" s="13" t="str">
        <x:v>BC</x:v>
      </x:c>
      <x:c r="E70" s="13" t="str">
        <x:v>highland.manufacturing@example.com</x:v>
      </x:c>
      <x:c r="F70" s="13" t="str">
        <x:v>Small Business</x:v>
      </x:c>
      <x:c r="G70" s="36" t="n">
        <x:v>46164</x:v>
      </x:c>
    </x:row>
    <x:row r="71">
      <x:c r="A71" s="13" t="str">
        <x:v>C070</x:v>
      </x:c>
      <x:c r="B71" s="13" t="str">
        <x:v>BrightPath Dental Group</x:v>
      </x:c>
      <x:c r="C71" s="13" t="str">
        <x:v>Calgary</x:v>
      </x:c>
      <x:c r="D71" s="13" t="str">
        <x:v>AB</x:v>
      </x:c>
      <x:c r="E71" s="13" t="str">
        <x:v>brightpath.dental.group@example.com</x:v>
      </x:c>
      <x:c r="F71" s="13" t="str">
        <x:v>Corporate</x:v>
      </x:c>
      <x:c r="G71" s="36" t="n">
        <x:v>45026</x:v>
      </x:c>
    </x:row>
    <x:row r="72">
      <x:c r="A72" s="13" t="str">
        <x:v>C071</x:v>
      </x:c>
      <x:c r="B72" s="13" t="str">
        <x:v>Pinecrest Food Services</x:v>
      </x:c>
      <x:c r="C72" s="13" t="str">
        <x:v>Montreal</x:v>
      </x:c>
      <x:c r="D72" s="13" t="str">
        <x:v>QC</x:v>
      </x:c>
      <x:c r="E72" s="13" t="str">
        <x:v>pinecrest.food.services@example.com</x:v>
      </x:c>
      <x:c r="F72" s="13" t="str">
        <x:v>Corporate</x:v>
      </x:c>
      <x:c r="G72" s="36" t="n">
        <x:v>46081</x:v>
      </x:c>
    </x:row>
    <x:row r="73">
      <x:c r="A73" s="13" t="str">
        <x:v>C072</x:v>
      </x:c>
      <x:c r="B73" s="13" t="str">
        <x:v>BrightPath Construction</x:v>
      </x:c>
      <x:c r="C73" s="13" t="str">
        <x:v>Halifax</x:v>
      </x:c>
      <x:c r="D73" s="13" t="str">
        <x:v>NS</x:v>
      </x:c>
      <x:c r="E73" s="13" t="str">
        <x:v>brightpath.construction@example.com</x:v>
      </x:c>
      <x:c r="F73" s="13" t="str">
        <x:v>Small Business</x:v>
      </x:c>
      <x:c r="G73" s="36" t="n">
        <x:v>45596</x:v>
      </x:c>
    </x:row>
    <x:row r="74">
      <x:c r="A74" s="13" t="str">
        <x:v>C073</x:v>
      </x:c>
      <x:c r="B74" s="13" t="str">
        <x:v>Summit Events</x:v>
      </x:c>
      <x:c r="C74" s="13" t="str">
        <x:v>Montreal</x:v>
      </x:c>
      <x:c r="D74" s="13" t="str">
        <x:v>QC</x:v>
      </x:c>
      <x:c r="E74" s="13" t="str">
        <x:v>summit.events@example.com</x:v>
      </x:c>
      <x:c r="F74" s="13" t="str">
        <x:v>Corporate</x:v>
      </x:c>
      <x:c r="G74" s="36" t="n">
        <x:v>44672</x:v>
      </x:c>
    </x:row>
    <x:row r="75">
      <x:c r="A75" s="13" t="str">
        <x:v>C074</x:v>
      </x:c>
      <x:c r="B75" s="13" t="str">
        <x:v>Meadow Logistics</x:v>
      </x:c>
      <x:c r="C75" s="13" t="str">
        <x:v>Ottawa</x:v>
      </x:c>
      <x:c r="D75" s="13" t="str">
        <x:v>ON</x:v>
      </x:c>
      <x:c r="E75" s="13" t="str">
        <x:v>meadow.logistics@example.com</x:v>
      </x:c>
      <x:c r="F75" s="13" t="str">
        <x:v>Nonprofit</x:v>
      </x:c>
      <x:c r="G75" s="36" t="n">
        <x:v>44768</x:v>
      </x:c>
    </x:row>
    <x:row r="76">
      <x:c r="A76" s="13" t="str">
        <x:v>C075</x:v>
      </x:c>
      <x:c r="B76" s="13" t="str">
        <x:v>Harbour Events</x:v>
      </x:c>
      <x:c r="C76" s="13" t="str">
        <x:v>Montreal</x:v>
      </x:c>
      <x:c r="D76" s="13" t="str">
        <x:v>QC</x:v>
      </x:c>
      <x:c r="E76" s="13" t="str">
        <x:v>harbour.events@example.com</x:v>
      </x:c>
      <x:c r="F76" s="13" t="str">
        <x:v>Nonprofit</x:v>
      </x:c>
      <x:c r="G76" s="36" t="n">
        <x:v>45500</x:v>
      </x:c>
    </x:row>
    <x:row r="77">
      <x:c r="A77" s="13" t="str">
        <x:v>C076</x:v>
      </x:c>
      <x:c r="B77" s="13" t="str">
        <x:v>Evergreen Consulting</x:v>
      </x:c>
      <x:c r="C77" s="13" t="str">
        <x:v>Montreal</x:v>
      </x:c>
      <x:c r="D77" s="13" t="str">
        <x:v>QC</x:v>
      </x:c>
      <x:c r="E77" s="13" t="str">
        <x:v>evergreen.consulting@example.com</x:v>
      </x:c>
      <x:c r="F77" s="13" t="str">
        <x:v>Small Business</x:v>
      </x:c>
      <x:c r="G77" s="36" t="n">
        <x:v>44739</x:v>
      </x:c>
    </x:row>
    <x:row r="78">
      <x:c r="A78" s="13" t="str">
        <x:v>C077</x:v>
      </x:c>
      <x:c r="B78" s="13" t="str">
        <x:v>Lakeside Media</x:v>
      </x:c>
      <x:c r="C78" s="13" t="str">
        <x:v>Mississauga</x:v>
      </x:c>
      <x:c r="D78" s="13" t="str">
        <x:v>ON</x:v>
      </x:c>
      <x:c r="E78" s="13" t="str">
        <x:v>lakeside.media@example.com</x:v>
      </x:c>
      <x:c r="F78" s="13" t="str">
        <x:v>Nonprofit</x:v>
      </x:c>
      <x:c r="G78" s="36" t="n">
        <x:v>45354</x:v>
      </x:c>
    </x:row>
    <x:row r="79">
      <x:c r="A79" s="13" t="str">
        <x:v>C078</x:v>
      </x:c>
      <x:c r="B79" s="13" t="str">
        <x:v>Granite Dental Group</x:v>
      </x:c>
      <x:c r="C79" s="13" t="str">
        <x:v>Toronto</x:v>
      </x:c>
      <x:c r="D79" s="13" t="str">
        <x:v>ON</x:v>
      </x:c>
      <x:c r="E79" s="13" t="str">
        <x:v>granite.dental.group@example.com</x:v>
      </x:c>
      <x:c r="F79" s="13" t="str">
        <x:v>Nonprofit</x:v>
      </x:c>
      <x:c r="G79" s="36" t="n">
        <x:v>44786</x:v>
      </x:c>
    </x:row>
    <x:row r="80">
      <x:c r="A80" s="13" t="str">
        <x:v>C079</x:v>
      </x:c>
      <x:c r="B80" s="13" t="str">
        <x:v>Granite Media</x:v>
      </x:c>
      <x:c r="C80" s="13" t="str">
        <x:v>London</x:v>
      </x:c>
      <x:c r="D80" s="13" t="str">
        <x:v>ON</x:v>
      </x:c>
      <x:c r="E80" s="13" t="str">
        <x:v>granite.media@example.com</x:v>
      </x:c>
      <x:c r="F80" s="13" t="str">
        <x:v>Education</x:v>
      </x:c>
      <x:c r="G80" s="36" t="n">
        <x:v>45378</x:v>
      </x:c>
    </x:row>
    <x:row r="81">
      <x:c r="A81" s="13" t="str">
        <x:v>C080</x:v>
      </x:c>
      <x:c r="B81" s="13" t="str">
        <x:v>Meadow Consulting</x:v>
      </x:c>
      <x:c r="C81" s="13" t="str">
        <x:v>Mississauga</x:v>
      </x:c>
      <x:c r="D81" s="13" t="str">
        <x:v>ON</x:v>
      </x:c>
      <x:c r="E81" s="13" t="str">
        <x:v>meadow.consulting@example.com</x:v>
      </x:c>
      <x:c r="F81" s="13" t="str">
        <x:v>Corporate</x:v>
      </x:c>
      <x:c r="G81" s="36" t="n">
        <x:v>45001</x:v>
      </x:c>
    </x:row>
    <x:row r="82">
      <x:c r="A82" s="13" t="str">
        <x:v>C081</x:v>
      </x:c>
      <x:c r="B82" s="13" t="str">
        <x:v>Riverstone Accounting</x:v>
      </x:c>
      <x:c r="C82" s="13" t="str">
        <x:v>London</x:v>
      </x:c>
      <x:c r="D82" s="13" t="str">
        <x:v>ON</x:v>
      </x:c>
      <x:c r="E82" s="13" t="str">
        <x:v>riverstone.accounting@example.com</x:v>
      </x:c>
      <x:c r="F82" s="13" t="str">
        <x:v>Education</x:v>
      </x:c>
      <x:c r="G82" s="36" t="n">
        <x:v>46261</x:v>
      </x:c>
    </x:row>
    <x:row r="83">
      <x:c r="A83" s="13" t="str">
        <x:v>C082</x:v>
      </x:c>
      <x:c r="B83" s="13" t="str">
        <x:v>Kingfisher Accounting</x:v>
      </x:c>
      <x:c r="C83" s="13" t="str">
        <x:v>London</x:v>
      </x:c>
      <x:c r="D83" s="13" t="str">
        <x:v>ON</x:v>
      </x:c>
      <x:c r="E83" s="13" t="str">
        <x:v>kingfisher.accounting@example.com</x:v>
      </x:c>
      <x:c r="F83" s="13" t="str">
        <x:v>Nonprofit</x:v>
      </x:c>
      <x:c r="G83" s="36" t="n">
        <x:v>45982</x:v>
      </x:c>
    </x:row>
    <x:row r="84">
      <x:c r="A84" s="13" t="str">
        <x:v>C083</x:v>
      </x:c>
      <x:c r="B84" s="13" t="str">
        <x:v>Riverstone Nonprofit Society</x:v>
      </x:c>
      <x:c r="C84" s="13" t="str">
        <x:v>Mississauga</x:v>
      </x:c>
      <x:c r="D84" s="13" t="str">
        <x:v>ON</x:v>
      </x:c>
      <x:c r="E84" s="13" t="str">
        <x:v>riverstone.nonprofit.society@example.com</x:v>
      </x:c>
      <x:c r="F84" s="13" t="str">
        <x:v>Nonprofit</x:v>
      </x:c>
      <x:c r="G84" s="36" t="n">
        <x:v>45219</x:v>
      </x:c>
    </x:row>
    <x:row r="85">
      <x:c r="A85" s="13" t="str">
        <x:v>C084</x:v>
      </x:c>
      <x:c r="B85" s="13" t="str">
        <x:v>Kingfisher Food Services</x:v>
      </x:c>
      <x:c r="C85" s="13" t="str">
        <x:v>Halifax</x:v>
      </x:c>
      <x:c r="D85" s="13" t="str">
        <x:v>NS</x:v>
      </x:c>
      <x:c r="E85" s="13" t="str">
        <x:v>kingfisher.food.services@example.com</x:v>
      </x:c>
      <x:c r="F85" s="13" t="str">
        <x:v>Nonprofit</x:v>
      </x:c>
      <x:c r="G85" s="36" t="n">
        <x:v>45715</x:v>
      </x:c>
    </x:row>
    <x:row r="86">
      <x:c r="A86" s="13" t="str">
        <x:v>C085</x:v>
      </x:c>
      <x:c r="B86" s="13" t="str">
        <x:v>Kingfisher Events</x:v>
      </x:c>
      <x:c r="C86" s="13" t="str">
        <x:v>Kitchener</x:v>
      </x:c>
      <x:c r="D86" s="13" t="str">
        <x:v>ON</x:v>
      </x:c>
      <x:c r="E86" s="13" t="str">
        <x:v>kingfisher.events@example.com</x:v>
      </x:c>
      <x:c r="F86" s="13" t="str">
        <x:v>Small Business</x:v>
      </x:c>
      <x:c r="G86" s="36" t="n">
        <x:v>44720</x:v>
      </x:c>
    </x:row>
    <x:row r="87">
      <x:c r="A87" s="13" t="str">
        <x:v>C086</x:v>
      </x:c>
      <x:c r="B87" s="13" t="str">
        <x:v>Pinecrest Manufacturing</x:v>
      </x:c>
      <x:c r="C87" s="13" t="str">
        <x:v>Vancouver</x:v>
      </x:c>
      <x:c r="D87" s="13" t="str">
        <x:v>BC</x:v>
      </x:c>
      <x:c r="E87" s="13" t="str">
        <x:v>pinecrest.manufacturing@example.com</x:v>
      </x:c>
      <x:c r="F87" s="13" t="str">
        <x:v>Education</x:v>
      </x:c>
      <x:c r="G87" s="36" t="n">
        <x:v>45088</x:v>
      </x:c>
    </x:row>
    <x:row r="88">
      <x:c r="A88" s="13" t="str">
        <x:v>C087</x:v>
      </x:c>
      <x:c r="B88" s="13" t="str">
        <x:v>Northfield Food Services</x:v>
      </x:c>
      <x:c r="C88" s="13" t="str">
        <x:v>Vancouver</x:v>
      </x:c>
      <x:c r="D88" s="13" t="str">
        <x:v>BC</x:v>
      </x:c>
      <x:c r="E88" s="13" t="str">
        <x:v>northfield.food.services@example.com</x:v>
      </x:c>
      <x:c r="F88" s="13" t="str">
        <x:v>Small Business</x:v>
      </x:c>
      <x:c r="G88" s="36" t="n">
        <x:v>46110</x:v>
      </x:c>
    </x:row>
    <x:row r="89">
      <x:c r="A89" s="13" t="str">
        <x:v>C088</x:v>
      </x:c>
      <x:c r="B89" s="13" t="str">
        <x:v>Stonebridge Property Services</x:v>
      </x:c>
      <x:c r="C89" s="13" t="str">
        <x:v>Calgary</x:v>
      </x:c>
      <x:c r="D89" s="13" t="str">
        <x:v>AB</x:v>
      </x:c>
      <x:c r="E89" s="13" t="str">
        <x:v>stonebridge.property.services@example.com</x:v>
      </x:c>
      <x:c r="F89" s="13" t="str">
        <x:v>Education</x:v>
      </x:c>
      <x:c r="G89" s="36" t="n">
        <x:v>45724</x:v>
      </x:c>
    </x:row>
    <x:row r="90">
      <x:c r="A90" s="13" t="str">
        <x:v>C089</x:v>
      </x:c>
      <x:c r="B90" s="13" t="str">
        <x:v>Frontier Dental Group</x:v>
      </x:c>
      <x:c r="C90" s="13" t="str">
        <x:v>London</x:v>
      </x:c>
      <x:c r="D90" s="13" t="str">
        <x:v>ON</x:v>
      </x:c>
      <x:c r="E90" s="13" t="str">
        <x:v>frontier.dental.group@example.com</x:v>
      </x:c>
      <x:c r="F90" s="13" t="str">
        <x:v>Small Business</x:v>
      </x:c>
      <x:c r="G90" s="36" t="n">
        <x:v>45568</x:v>
      </x:c>
    </x:row>
    <x:row r="91">
      <x:c r="A91" s="13" t="str">
        <x:v>C090</x:v>
      </x:c>
      <x:c r="B91" s="13" t="str">
        <x:v>Brookside Media</x:v>
      </x:c>
      <x:c r="C91" s="13" t="str">
        <x:v>Calgary</x:v>
      </x:c>
      <x:c r="D91" s="13" t="str">
        <x:v>AB</x:v>
      </x:c>
      <x:c r="E91" s="13" t="str">
        <x:v>brookside.media@example.com</x:v>
      </x:c>
      <x:c r="F91" s="13" t="str">
        <x:v>Nonprofit</x:v>
      </x:c>
      <x:c r="G91" s="36" t="n">
        <x:v>45002</x:v>
      </x:c>
    </x:row>
    <x:row r="92">
      <x:c r="A92" s="13" t="str">
        <x:v>C091</x:v>
      </x:c>
      <x:c r="B92" s="13" t="str">
        <x:v>Lakeside Nonprofit Society</x:v>
      </x:c>
      <x:c r="C92" s="13" t="str">
        <x:v>London</x:v>
      </x:c>
      <x:c r="D92" s="13" t="str">
        <x:v>ON</x:v>
      </x:c>
      <x:c r="E92" s="13" t="str">
        <x:v>lakeside.nonprofit.society@example.com</x:v>
      </x:c>
      <x:c r="F92" s="13" t="str">
        <x:v>Education</x:v>
      </x:c>
      <x:c r="G92" s="36" t="n">
        <x:v>46073</x:v>
      </x:c>
    </x:row>
    <x:row r="93">
      <x:c r="A93" s="13" t="str">
        <x:v>C092</x:v>
      </x:c>
      <x:c r="B93" s="13" t="str">
        <x:v>Harbour Accounting</x:v>
      </x:c>
      <x:c r="C93" s="13" t="str">
        <x:v>Montreal</x:v>
      </x:c>
      <x:c r="D93" s="13" t="str">
        <x:v>QC</x:v>
      </x:c>
      <x:c r="E93" s="13" t="str">
        <x:v>harbour.accounting@example.com</x:v>
      </x:c>
      <x:c r="F93" s="13" t="str">
        <x:v>Nonprofit</x:v>
      </x:c>
      <x:c r="G93" s="36" t="n">
        <x:v>45622</x:v>
      </x:c>
    </x:row>
    <x:row r="94">
      <x:c r="A94" s="13" t="str">
        <x:v>C093</x:v>
      </x:c>
      <x:c r="B94" s="13" t="str">
        <x:v>Willow Accounting</x:v>
      </x:c>
      <x:c r="C94" s="13" t="str">
        <x:v>Kitchener</x:v>
      </x:c>
      <x:c r="D94" s="13" t="str">
        <x:v>ON</x:v>
      </x:c>
      <x:c r="E94" s="13" t="str">
        <x:v>willow.accounting@example.com</x:v>
      </x:c>
      <x:c r="F94" s="13" t="str">
        <x:v>Education</x:v>
      </x:c>
      <x:c r="G94" s="36" t="n">
        <x:v>46092</x:v>
      </x:c>
    </x:row>
    <x:row r="95">
      <x:c r="A95" s="13" t="str">
        <x:v>C094</x:v>
      </x:c>
      <x:c r="B95" s="13" t="str">
        <x:v>Summit Wellness Centre</x:v>
      </x:c>
      <x:c r="C95" s="13" t="str">
        <x:v>Kitchener</x:v>
      </x:c>
      <x:c r="D95" s="13" t="str">
        <x:v>ON</x:v>
      </x:c>
      <x:c r="E95" s="13" t="str">
        <x:v>summit.wellness.centre@example.com</x:v>
      </x:c>
      <x:c r="F95" s="13" t="str">
        <x:v>Nonprofit</x:v>
      </x:c>
      <x:c r="G95" s="36" t="n">
        <x:v>45953</x:v>
      </x:c>
    </x:row>
    <x:row r="96">
      <x:c r="A96" s="13" t="str">
        <x:v>C095</x:v>
      </x:c>
      <x:c r="B96" s="13" t="str">
        <x:v>Riverstone Media</x:v>
      </x:c>
      <x:c r="C96" s="13" t="str">
        <x:v>Toronto</x:v>
      </x:c>
      <x:c r="D96" s="13" t="str">
        <x:v>ON</x:v>
      </x:c>
      <x:c r="E96" s="13" t="str">
        <x:v>riverstone.media@example.com</x:v>
      </x:c>
      <x:c r="F96" s="13" t="str">
        <x:v>Education</x:v>
      </x:c>
      <x:c r="G96" s="36" t="n">
        <x:v>44849</x:v>
      </x:c>
    </x:row>
    <x:row r="97">
      <x:c r="A97" s="13" t="str">
        <x:v>C096</x:v>
      </x:c>
      <x:c r="B97" s="13" t="str">
        <x:v>Willow Design Studio</x:v>
      </x:c>
      <x:c r="C97" s="13" t="str">
        <x:v>Vancouver</x:v>
      </x:c>
      <x:c r="D97" s="13" t="str">
        <x:v>BC</x:v>
      </x:c>
      <x:c r="E97" s="13" t="str">
        <x:v>willow.design.studio@example.com</x:v>
      </x:c>
      <x:c r="F97" s="13" t="str">
        <x:v>Small Business</x:v>
      </x:c>
      <x:c r="G97" s="36" t="n">
        <x:v>45693</x:v>
      </x:c>
    </x:row>
    <x:row r="98">
      <x:c r="A98" s="13" t="str">
        <x:v>C097</x:v>
      </x:c>
      <x:c r="B98" s="13" t="str">
        <x:v>Frontier Legal Services</x:v>
      </x:c>
      <x:c r="C98" s="13" t="str">
        <x:v>Vancouver</x:v>
      </x:c>
      <x:c r="D98" s="13" t="str">
        <x:v>BC</x:v>
      </x:c>
      <x:c r="E98" s="13" t="str">
        <x:v>frontier.legal.services@example.com</x:v>
      </x:c>
      <x:c r="F98" s="13" t="str">
        <x:v>Small Business</x:v>
      </x:c>
      <x:c r="G98" s="36" t="n">
        <x:v>46101</x:v>
      </x:c>
    </x:row>
    <x:row r="99">
      <x:c r="A99" s="13" t="str">
        <x:v>C098</x:v>
      </x:c>
      <x:c r="B99" s="13" t="str">
        <x:v>Bluebird Events</x:v>
      </x:c>
      <x:c r="C99" s="13" t="str">
        <x:v>Mississauga</x:v>
      </x:c>
      <x:c r="D99" s="13" t="str">
        <x:v>ON</x:v>
      </x:c>
      <x:c r="E99" s="13" t="str">
        <x:v>bluebird.events@example.com</x:v>
      </x:c>
      <x:c r="F99" s="13" t="str">
        <x:v>Small Business</x:v>
      </x:c>
      <x:c r="G99" s="36" t="n">
        <x:v>44884</x:v>
      </x:c>
    </x:row>
    <x:row r="100">
      <x:c r="A100" s="13" t="str">
        <x:v>C099</x:v>
      </x:c>
      <x:c r="B100" s="13" t="str">
        <x:v>Northfield Community Services</x:v>
      </x:c>
      <x:c r="C100" s="13" t="str">
        <x:v>London</x:v>
      </x:c>
      <x:c r="D100" s="13" t="str">
        <x:v>ON</x:v>
      </x:c>
      <x:c r="E100" s="13" t="str">
        <x:v>northfield.community.services@example.com</x:v>
      </x:c>
      <x:c r="F100" s="13" t="str">
        <x:v>Nonprofit</x:v>
      </x:c>
      <x:c r="G100" s="36" t="n">
        <x:v>46055</x:v>
      </x:c>
    </x:row>
    <x:row r="101">
      <x:c r="A101" s="13" t="str">
        <x:v>C100</x:v>
      </x:c>
      <x:c r="B101" s="13" t="str">
        <x:v>Evergreen Media</x:v>
      </x:c>
      <x:c r="C101" s="13" t="str">
        <x:v>Kitchener</x:v>
      </x:c>
      <x:c r="D101" s="13" t="str">
        <x:v>ON</x:v>
      </x:c>
      <x:c r="E101" s="13" t="str">
        <x:v>evergreen.media@example.com</x:v>
      </x:c>
      <x:c r="F101" s="13" t="str">
        <x:v>Corporate</x:v>
      </x:c>
      <x:c r="G101" s="36" t="n">
        <x:v>46082</x:v>
      </x:c>
    </x:row>
    <x:row r="102">
      <x:c r="A102" s="13" t="str">
        <x:v>C101</x:v>
      </x:c>
      <x:c r="B102" s="13" t="str">
        <x:v>Silver Birch Design Studio</x:v>
      </x:c>
      <x:c r="C102" s="13" t="str">
        <x:v>Vancouver</x:v>
      </x:c>
      <x:c r="D102" s="13" t="str">
        <x:v>BC</x:v>
      </x:c>
      <x:c r="E102" s="13" t="str">
        <x:v>silver.birch.design.studio@example.com</x:v>
      </x:c>
      <x:c r="F102" s="13" t="str">
        <x:v>Small Business</x:v>
      </x:c>
      <x:c r="G102" s="36" t="n">
        <x:v>45333</x:v>
      </x:c>
    </x:row>
    <x:row r="103">
      <x:c r="A103" s="13" t="str">
        <x:v>C102</x:v>
      </x:c>
      <x:c r="B103" s="13" t="str">
        <x:v>Skyline Food Services</x:v>
      </x:c>
      <x:c r="C103" s="13" t="str">
        <x:v>Calgary</x:v>
      </x:c>
      <x:c r="D103" s="13" t="str">
        <x:v>AB</x:v>
      </x:c>
      <x:c r="E103" s="13" t="str">
        <x:v>skyline.food.services@example.com</x:v>
      </x:c>
      <x:c r="F103" s="13" t="str">
        <x:v>Small Business</x:v>
      </x:c>
      <x:c r="G103" s="36" t="n">
        <x:v>45385</x:v>
      </x:c>
    </x:row>
    <x:row r="104">
      <x:c r="A104" s="13" t="str">
        <x:v>C103</x:v>
      </x:c>
      <x:c r="B104" s="13" t="str">
        <x:v>Elmwood Retail</x:v>
      </x:c>
      <x:c r="C104" s="13" t="str">
        <x:v>Calgary</x:v>
      </x:c>
      <x:c r="D104" s="13" t="str">
        <x:v>AB</x:v>
      </x:c>
      <x:c r="E104" s="13" t="str">
        <x:v>elmwood.retail@example.com</x:v>
      </x:c>
      <x:c r="F104" s="13" t="str">
        <x:v>Nonprofit</x:v>
      </x:c>
      <x:c r="G104" s="36" t="n">
        <x:v>45051</x:v>
      </x:c>
    </x:row>
    <x:row r="105">
      <x:c r="A105" s="13" t="str">
        <x:v>C104</x:v>
      </x:c>
      <x:c r="B105" s="13" t="str">
        <x:v>Compass Learning Centre</x:v>
      </x:c>
      <x:c r="C105" s="13" t="str">
        <x:v>Montreal</x:v>
      </x:c>
      <x:c r="D105" s="13" t="str">
        <x:v>QC</x:v>
      </x:c>
      <x:c r="E105" s="13" t="str">
        <x:v>compass.learning.centre@example.com</x:v>
      </x:c>
      <x:c r="F105" s="13" t="str">
        <x:v>Small Business</x:v>
      </x:c>
      <x:c r="G105" s="36" t="n">
        <x:v>45247</x:v>
      </x:c>
    </x:row>
    <x:row r="106">
      <x:c r="A106" s="13" t="str">
        <x:v>C105</x:v>
      </x:c>
      <x:c r="B106" s="13" t="str">
        <x:v>Highland Learning Centre</x:v>
      </x:c>
      <x:c r="C106" s="13" t="str">
        <x:v>Ottawa</x:v>
      </x:c>
      <x:c r="D106" s="13" t="str">
        <x:v>ON</x:v>
      </x:c>
      <x:c r="E106" s="13" t="str">
        <x:v>highland.learning.centre@example.com</x:v>
      </x:c>
      <x:c r="F106" s="13" t="str">
        <x:v>Nonprofit</x:v>
      </x:c>
      <x:c r="G106" s="36" t="n">
        <x:v>45604</x:v>
      </x:c>
    </x:row>
    <x:row r="107">
      <x:c r="A107" s="13" t="str">
        <x:v>C106</x:v>
      </x:c>
      <x:c r="B107" s="13" t="str">
        <x:v>Highland Property Services</x:v>
      </x:c>
      <x:c r="C107" s="13" t="str">
        <x:v>Montreal</x:v>
      </x:c>
      <x:c r="D107" s="13" t="str">
        <x:v>QC</x:v>
      </x:c>
      <x:c r="E107" s="13" t="str">
        <x:v>highland.property.services@example.com</x:v>
      </x:c>
      <x:c r="F107" s="13" t="str">
        <x:v>Corporate</x:v>
      </x:c>
      <x:c r="G107" s="36" t="n">
        <x:v>44902</x:v>
      </x:c>
    </x:row>
    <x:row r="108">
      <x:c r="A108" s="13" t="str">
        <x:v>C107</x:v>
      </x:c>
      <x:c r="B108" s="13" t="str">
        <x:v>BrightPath Manufacturing</x:v>
      </x:c>
      <x:c r="C108" s="13" t="str">
        <x:v>London</x:v>
      </x:c>
      <x:c r="D108" s="13" t="str">
        <x:v>ON</x:v>
      </x:c>
      <x:c r="E108" s="13" t="str">
        <x:v>brightpath.manufacturing@example.com</x:v>
      </x:c>
      <x:c r="F108" s="13" t="str">
        <x:v>Small Business</x:v>
      </x:c>
      <x:c r="G108" s="36" t="n">
        <x:v>45799</x:v>
      </x:c>
    </x:row>
    <x:row r="109">
      <x:c r="A109" s="13" t="str">
        <x:v>C108</x:v>
      </x:c>
      <x:c r="B109" s="13" t="str">
        <x:v>Cedar Community Services</x:v>
      </x:c>
      <x:c r="C109" s="13" t="str">
        <x:v>London</x:v>
      </x:c>
      <x:c r="D109" s="13" t="str">
        <x:v>ON</x:v>
      </x:c>
      <x:c r="E109" s="13" t="str">
        <x:v>cedar.community.services@example.com</x:v>
      </x:c>
      <x:c r="F109" s="13" t="str">
        <x:v>Nonprofit</x:v>
      </x:c>
      <x:c r="G109" s="36" t="n">
        <x:v>45280</x:v>
      </x:c>
    </x:row>
    <x:row r="110">
      <x:c r="A110" s="13" t="str">
        <x:v>C109</x:v>
      </x:c>
      <x:c r="B110" s="13" t="str">
        <x:v>Beacon Dental Group</x:v>
      </x:c>
      <x:c r="C110" s="13" t="str">
        <x:v>Kitchener</x:v>
      </x:c>
      <x:c r="D110" s="13" t="str">
        <x:v>ON</x:v>
      </x:c>
      <x:c r="E110" s="13" t="str">
        <x:v>beacon.dental.group@example.com</x:v>
      </x:c>
      <x:c r="F110" s="13" t="str">
        <x:v>Education</x:v>
      </x:c>
      <x:c r="G110" s="36" t="n">
        <x:v>45338</x:v>
      </x:c>
    </x:row>
    <x:row r="111">
      <x:c r="A111" s="13" t="str">
        <x:v>C110</x:v>
      </x:c>
      <x:c r="B111" s="13" t="str">
        <x:v>Maple Property Services</x:v>
      </x:c>
      <x:c r="C111" s="13" t="str">
        <x:v>Calgary</x:v>
      </x:c>
      <x:c r="D111" s="13" t="str">
        <x:v>AB</x:v>
      </x:c>
      <x:c r="E111" s="13" t="str">
        <x:v>maple.property.services@example.com</x:v>
      </x:c>
      <x:c r="F111" s="13" t="str">
        <x:v>Nonprofit</x:v>
      </x:c>
      <x:c r="G111" s="36" t="n">
        <x:v>44757</x:v>
      </x:c>
    </x:row>
    <x:row r="112">
      <x:c r="A112" s="13" t="str">
        <x:v>C111</x:v>
      </x:c>
      <x:c r="B112" s="13" t="str">
        <x:v>Granite Construction</x:v>
      </x:c>
      <x:c r="C112" s="13" t="str">
        <x:v>Mississauga</x:v>
      </x:c>
      <x:c r="D112" s="13" t="str">
        <x:v>ON</x:v>
      </x:c>
      <x:c r="E112" s="13" t="str">
        <x:v>granite.construction@example.com</x:v>
      </x:c>
      <x:c r="F112" s="13" t="str">
        <x:v>Nonprofit</x:v>
      </x:c>
      <x:c r="G112" s="36" t="n">
        <x:v>45602</x:v>
      </x:c>
    </x:row>
    <x:row r="113">
      <x:c r="A113" s="13" t="str">
        <x:v>C112</x:v>
      </x:c>
      <x:c r="B113" s="13" t="str">
        <x:v>Skyline Community Services</x:v>
      </x:c>
      <x:c r="C113" s="13" t="str">
        <x:v>Hamilton</x:v>
      </x:c>
      <x:c r="D113" s="13" t="str">
        <x:v>ON</x:v>
      </x:c>
      <x:c r="E113" s="13" t="str">
        <x:v>skyline.community.services@example.com</x:v>
      </x:c>
      <x:c r="F113" s="13" t="str">
        <x:v>Nonprofit</x:v>
      </x:c>
      <x:c r="G113" s="36" t="n">
        <x:v>45589</x:v>
      </x:c>
    </x:row>
    <x:row r="114">
      <x:c r="A114" s="13" t="str">
        <x:v>C113</x:v>
      </x:c>
      <x:c r="B114" s="13" t="str">
        <x:v>Highland Retail</x:v>
      </x:c>
      <x:c r="C114" s="13" t="str">
        <x:v>Vancouver</x:v>
      </x:c>
      <x:c r="D114" s="13" t="str">
        <x:v>BC</x:v>
      </x:c>
      <x:c r="E114" s="13" t="str">
        <x:v>highland.retail@example.com</x:v>
      </x:c>
      <x:c r="F114" s="13" t="str">
        <x:v>Corporate</x:v>
      </x:c>
      <x:c r="G114" s="36" t="n">
        <x:v>45742</x:v>
      </x:c>
    </x:row>
    <x:row r="115">
      <x:c r="A115" s="13" t="str">
        <x:v>C114</x:v>
      </x:c>
      <x:c r="B115" s="13" t="str">
        <x:v>Evergreen Accounting</x:v>
      </x:c>
      <x:c r="C115" s="13" t="str">
        <x:v>Calgary</x:v>
      </x:c>
      <x:c r="D115" s="13" t="str">
        <x:v>AB</x:v>
      </x:c>
      <x:c r="E115" s="13" t="str">
        <x:v>evergreen.accounting@example.com</x:v>
      </x:c>
      <x:c r="F115" s="13" t="str">
        <x:v>Small Business</x:v>
      </x:c>
      <x:c r="G115" s="36" t="n">
        <x:v>45945</x:v>
      </x:c>
    </x:row>
    <x:row r="116">
      <x:c r="A116" s="13" t="str">
        <x:v>C115</x:v>
      </x:c>
      <x:c r="B116" s="13" t="str">
        <x:v>Skyline Wellness Centre</x:v>
      </x:c>
      <x:c r="C116" s="13" t="str">
        <x:v>Calgary</x:v>
      </x:c>
      <x:c r="D116" s="13" t="str">
        <x:v>AB</x:v>
      </x:c>
      <x:c r="E116" s="13" t="str">
        <x:v>skyline.wellness.centre@example.com</x:v>
      </x:c>
      <x:c r="F116" s="13" t="str">
        <x:v>Small Business</x:v>
      </x:c>
      <x:c r="G116" s="36" t="n">
        <x:v>46080</x:v>
      </x:c>
    </x:row>
    <x:row r="117">
      <x:c r="A117" s="13" t="str">
        <x:v>C116</x:v>
      </x:c>
      <x:c r="B117" s="13" t="str">
        <x:v>Cedar Dental Group</x:v>
      </x:c>
      <x:c r="C117" s="13" t="str">
        <x:v>Calgary</x:v>
      </x:c>
      <x:c r="D117" s="13" t="str">
        <x:v>AB</x:v>
      </x:c>
      <x:c r="E117" s="13" t="str">
        <x:v>cedar.dental.group@example.com</x:v>
      </x:c>
      <x:c r="F117" s="13" t="str">
        <x:v>Education</x:v>
      </x:c>
      <x:c r="G117" s="36" t="n">
        <x:v>45781</x:v>
      </x:c>
    </x:row>
    <x:row r="118">
      <x:c r="A118" s="13" t="str">
        <x:v>C117</x:v>
      </x:c>
      <x:c r="B118" s="13" t="str">
        <x:v>Stonebridge Manufacturing</x:v>
      </x:c>
      <x:c r="C118" s="13" t="str">
        <x:v>Vancouver</x:v>
      </x:c>
      <x:c r="D118" s="13" t="str">
        <x:v>BC</x:v>
      </x:c>
      <x:c r="E118" s="13" t="str">
        <x:v>stonebridge.manufacturing@example.com</x:v>
      </x:c>
      <x:c r="F118" s="13" t="str">
        <x:v>Small Business</x:v>
      </x:c>
      <x:c r="G118" s="36" t="n">
        <x:v>44612</x:v>
      </x:c>
    </x:row>
    <x:row r="119">
      <x:c r="A119" s="13" t="str">
        <x:v>C118</x:v>
      </x:c>
      <x:c r="B119" s="13" t="str">
        <x:v>Bluebird Food Services</x:v>
      </x:c>
      <x:c r="C119" s="13" t="str">
        <x:v>Calgary</x:v>
      </x:c>
      <x:c r="D119" s="13" t="str">
        <x:v>AB</x:v>
      </x:c>
      <x:c r="E119" s="13" t="str">
        <x:v>bluebird.food.services@example.com</x:v>
      </x:c>
      <x:c r="F119" s="13" t="str">
        <x:v>Nonprofit</x:v>
      </x:c>
      <x:c r="G119" s="36" t="n">
        <x:v>45608</x:v>
      </x:c>
    </x:row>
    <x:row r="120">
      <x:c r="A120" s="13" t="str">
        <x:v>C119</x:v>
      </x:c>
      <x:c r="B120" s="13" t="str">
        <x:v>Bluebird Consulting</x:v>
      </x:c>
      <x:c r="C120" s="13" t="str">
        <x:v>Toronto</x:v>
      </x:c>
      <x:c r="D120" s="13" t="str">
        <x:v>ON</x:v>
      </x:c>
      <x:c r="E120" s="13" t="str">
        <x:v>bluebird.consulting@example.com</x:v>
      </x:c>
      <x:c r="F120" s="13" t="str">
        <x:v>Education</x:v>
      </x:c>
      <x:c r="G120" s="36" t="n">
        <x:v>46030</x:v>
      </x:c>
    </x:row>
    <x:row r="121">
      <x:c r="A121" s="13" t="str">
        <x:v>C120</x:v>
      </x:c>
      <x:c r="B121" s="13" t="str">
        <x:v>Pinecrest Accounting</x:v>
      </x:c>
      <x:c r="C121" s="13" t="str">
        <x:v>Montreal</x:v>
      </x:c>
      <x:c r="D121" s="13" t="str">
        <x:v>QC</x:v>
      </x:c>
      <x:c r="E121" s="13" t="str">
        <x:v>pinecrest.accounting@example.com</x:v>
      </x:c>
      <x:c r="F121" s="13" t="str">
        <x:v>Corporate</x:v>
      </x:c>
      <x:c r="G121" s="36" t="n">
        <x:v>44964</x:v>
      </x:c>
    </x:row>
    <x:row r="122">
      <x:c r="A122" s="13" t="str">
        <x:v>C121</x:v>
      </x:c>
      <x:c r="B122" s="13" t="str">
        <x:v>Kingfisher Nonprofit Society</x:v>
      </x:c>
      <x:c r="C122" s="13" t="str">
        <x:v>Calgary</x:v>
      </x:c>
      <x:c r="D122" s="13" t="str">
        <x:v>AB</x:v>
      </x:c>
      <x:c r="E122" s="13" t="str">
        <x:v>kingfisher.nonprofit.society@example.com</x:v>
      </x:c>
      <x:c r="F122" s="13" t="str">
        <x:v>Small Business</x:v>
      </x:c>
      <x:c r="G122" s="36" t="n">
        <x:v>45435</x:v>
      </x:c>
    </x:row>
    <x:row r="123">
      <x:c r="A123" s="13" t="str">
        <x:v>C122</x:v>
      </x:c>
      <x:c r="B123" s="13" t="str">
        <x:v>BrightPath Engineering</x:v>
      </x:c>
      <x:c r="C123" s="13" t="str">
        <x:v>Kitchener</x:v>
      </x:c>
      <x:c r="D123" s="13" t="str">
        <x:v>ON</x:v>
      </x:c>
      <x:c r="E123" s="13" t="str">
        <x:v>brightpath.engineering@example.com</x:v>
      </x:c>
      <x:c r="F123" s="13" t="str">
        <x:v>Education</x:v>
      </x:c>
      <x:c r="G123" s="36" t="n">
        <x:v>44588</x:v>
      </x:c>
    </x:row>
    <x:row r="124">
      <x:c r="A124" s="13" t="str">
        <x:v>C123</x:v>
      </x:c>
      <x:c r="B124" s="13" t="str">
        <x:v>Brookside Dental Group</x:v>
      </x:c>
      <x:c r="C124" s="13" t="str">
        <x:v>Vancouver</x:v>
      </x:c>
      <x:c r="D124" s="13" t="str">
        <x:v>BC</x:v>
      </x:c>
      <x:c r="E124" s="13" t="str">
        <x:v>brookside.dental.group@example.com</x:v>
      </x:c>
      <x:c r="F124" s="13" t="str">
        <x:v>Small Business</x:v>
      </x:c>
      <x:c r="G124" s="36" t="n">
        <x:v>46182</x:v>
      </x:c>
    </x:row>
    <x:row r="125">
      <x:c r="A125" s="13" t="str">
        <x:v>C124</x:v>
      </x:c>
      <x:c r="B125" s="13" t="str">
        <x:v>Oakline Logistics</x:v>
      </x:c>
      <x:c r="C125" s="13" t="str">
        <x:v>Montreal</x:v>
      </x:c>
      <x:c r="D125" s="13" t="str">
        <x:v>QC</x:v>
      </x:c>
      <x:c r="E125" s="13" t="str">
        <x:v>oakline.logistics@example.com</x:v>
      </x:c>
      <x:c r="F125" s="13" t="str">
        <x:v>Education</x:v>
      </x:c>
      <x:c r="G125" s="36" t="n">
        <x:v>44773</x:v>
      </x:c>
    </x:row>
    <x:row r="126">
      <x:c r="A126" s="13" t="str">
        <x:v>C125</x:v>
      </x:c>
      <x:c r="B126" s="13" t="str">
        <x:v>Elmwood Manufacturing</x:v>
      </x:c>
      <x:c r="C126" s="13" t="str">
        <x:v>Calgary</x:v>
      </x:c>
      <x:c r="D126" s="13" t="str">
        <x:v>AB</x:v>
      </x:c>
      <x:c r="E126" s="13" t="str">
        <x:v>elmwood.manufacturing@example.com</x:v>
      </x:c>
      <x:c r="F126" s="13" t="str">
        <x:v>Nonprofit</x:v>
      </x:c>
      <x:c r="G126" s="36" t="n">
        <x:v>45908</x:v>
      </x:c>
    </x:row>
    <x:row r="127">
      <x:c r="A127" s="13" t="str">
        <x:v>C126</x:v>
      </x:c>
      <x:c r="B127" s="13" t="str">
        <x:v>Parkview Legal Services</x:v>
      </x:c>
      <x:c r="C127" s="13" t="str">
        <x:v>Mississauga</x:v>
      </x:c>
      <x:c r="D127" s="13" t="str">
        <x:v>ON</x:v>
      </x:c>
      <x:c r="E127" s="13" t="str">
        <x:v>parkview.legal.services@example.com</x:v>
      </x:c>
      <x:c r="F127" s="13" t="str">
        <x:v>Small Business</x:v>
      </x:c>
      <x:c r="G127" s="36" t="n">
        <x:v>45638</x:v>
      </x:c>
    </x:row>
    <x:row r="128">
      <x:c r="A128" s="13" t="str">
        <x:v>C127</x:v>
      </x:c>
      <x:c r="B128" s="13" t="str">
        <x:v>Pinecrest Architecture</x:v>
      </x:c>
      <x:c r="C128" s="13" t="str">
        <x:v>Toronto</x:v>
      </x:c>
      <x:c r="D128" s="13" t="str">
        <x:v>ON</x:v>
      </x:c>
      <x:c r="E128" s="13" t="str">
        <x:v>pinecrest.architecture@example.com</x:v>
      </x:c>
      <x:c r="F128" s="13" t="str">
        <x:v>Corporate</x:v>
      </x:c>
      <x:c r="G128" s="36" t="n">
        <x:v>45305</x:v>
      </x:c>
    </x:row>
    <x:row r="129">
      <x:c r="A129" s="13" t="str">
        <x:v>C128</x:v>
      </x:c>
      <x:c r="B129" s="13" t="str">
        <x:v>Harbour Architecture</x:v>
      </x:c>
      <x:c r="C129" s="13" t="str">
        <x:v>Toronto</x:v>
      </x:c>
      <x:c r="D129" s="13" t="str">
        <x:v>ON</x:v>
      </x:c>
      <x:c r="E129" s="13" t="str">
        <x:v>harbour.architecture@example.com</x:v>
      </x:c>
      <x:c r="F129" s="13" t="str">
        <x:v>Corporate</x:v>
      </x:c>
      <x:c r="G129" s="36" t="n">
        <x:v>44879</x:v>
      </x:c>
    </x:row>
    <x:row r="130">
      <x:c r="A130" s="13" t="str">
        <x:v>C129</x:v>
      </x:c>
      <x:c r="B130" s="13" t="str">
        <x:v>Parkview Consulting</x:v>
      </x:c>
      <x:c r="C130" s="13" t="str">
        <x:v>Toronto</x:v>
      </x:c>
      <x:c r="D130" s="13" t="str">
        <x:v>ON</x:v>
      </x:c>
      <x:c r="E130" s="13" t="str">
        <x:v>parkview.consulting@example.com</x:v>
      </x:c>
      <x:c r="F130" s="13" t="str">
        <x:v>Nonprofit</x:v>
      </x:c>
      <x:c r="G130" s="36" t="n">
        <x:v>45286</x:v>
      </x:c>
    </x:row>
    <x:row r="131">
      <x:c r="A131" s="13" t="str">
        <x:v>C130</x:v>
      </x:c>
      <x:c r="B131" s="13" t="str">
        <x:v>Skyline Technology</x:v>
      </x:c>
      <x:c r="C131" s="13" t="str">
        <x:v>Kitchener</x:v>
      </x:c>
      <x:c r="D131" s="13" t="str">
        <x:v>ON</x:v>
      </x:c>
      <x:c r="E131" s="13" t="str">
        <x:v>skyline.technology@example.com</x:v>
      </x:c>
      <x:c r="F131" s="13" t="str">
        <x:v>Corporate</x:v>
      </x:c>
      <x:c r="G131" s="36" t="n">
        <x:v>45372</x:v>
      </x:c>
    </x:row>
    <x:row r="132">
      <x:c r="A132" s="13" t="str">
        <x:v>C131</x:v>
      </x:c>
      <x:c r="B132" s="13" t="str">
        <x:v>Willow Media</x:v>
      </x:c>
      <x:c r="C132" s="13" t="str">
        <x:v>London</x:v>
      </x:c>
      <x:c r="D132" s="13" t="str">
        <x:v>ON</x:v>
      </x:c>
      <x:c r="E132" s="13" t="str">
        <x:v>willow.media@example.com</x:v>
      </x:c>
      <x:c r="F132" s="13" t="str">
        <x:v>Education</x:v>
      </x:c>
      <x:c r="G132" s="36" t="n">
        <x:v>45467</x:v>
      </x:c>
    </x:row>
    <x:row r="133">
      <x:c r="A133" s="13" t="str">
        <x:v>C132</x:v>
      </x:c>
      <x:c r="B133" s="13" t="str">
        <x:v>Evergreen Food Services</x:v>
      </x:c>
      <x:c r="C133" s="13" t="str">
        <x:v>Calgary</x:v>
      </x:c>
      <x:c r="D133" s="13" t="str">
        <x:v>AB</x:v>
      </x:c>
      <x:c r="E133" s="13" t="str">
        <x:v>evergreen.food.services@example.com</x:v>
      </x:c>
      <x:c r="F133" s="13" t="str">
        <x:v>Corporate</x:v>
      </x:c>
      <x:c r="G133" s="36" t="n">
        <x:v>46106</x:v>
      </x:c>
    </x:row>
    <x:row r="134">
      <x:c r="A134" s="13" t="str">
        <x:v>C133</x:v>
      </x:c>
      <x:c r="B134" s="13" t="str">
        <x:v>Frontier Property Services</x:v>
      </x:c>
      <x:c r="C134" s="13" t="str">
        <x:v>Kitchener</x:v>
      </x:c>
      <x:c r="D134" s="13" t="str">
        <x:v>ON</x:v>
      </x:c>
      <x:c r="E134" s="13" t="str">
        <x:v>frontier.property.services@example.com</x:v>
      </x:c>
      <x:c r="F134" s="13" t="str">
        <x:v>Small Business</x:v>
      </x:c>
      <x:c r="G134" s="36" t="n">
        <x:v>46152</x:v>
      </x:c>
    </x:row>
    <x:row r="135">
      <x:c r="A135" s="13" t="str">
        <x:v>C134</x:v>
      </x:c>
      <x:c r="B135" s="13" t="str">
        <x:v>Silver Birch Logistics</x:v>
      </x:c>
      <x:c r="C135" s="13" t="str">
        <x:v>Hamilton</x:v>
      </x:c>
      <x:c r="D135" s="13" t="str">
        <x:v>ON</x:v>
      </x:c>
      <x:c r="E135" s="13" t="str">
        <x:v>silver.birch.logistics@example.com</x:v>
      </x:c>
      <x:c r="F135" s="13" t="str">
        <x:v>Corporate</x:v>
      </x:c>
      <x:c r="G135" s="36" t="n">
        <x:v>45461</x:v>
      </x:c>
    </x:row>
    <x:row r="136">
      <x:c r="A136" s="13" t="str">
        <x:v>C135</x:v>
      </x:c>
      <x:c r="B136" s="13" t="str">
        <x:v>Elmwood Events</x:v>
      </x:c>
      <x:c r="C136" s="13" t="str">
        <x:v>London</x:v>
      </x:c>
      <x:c r="D136" s="13" t="str">
        <x:v>ON</x:v>
      </x:c>
      <x:c r="E136" s="13" t="str">
        <x:v>elmwood.events@example.com</x:v>
      </x:c>
      <x:c r="F136" s="13" t="str">
        <x:v>Education</x:v>
      </x:c>
      <x:c r="G136" s="36" t="n">
        <x:v>46220</x:v>
      </x:c>
    </x:row>
    <x:row r="137">
      <x:c r="A137" s="13" t="str">
        <x:v>C136</x:v>
      </x:c>
      <x:c r="B137" s="13" t="str">
        <x:v>Riverstone Technology</x:v>
      </x:c>
      <x:c r="C137" s="13" t="str">
        <x:v>Kitchener</x:v>
      </x:c>
      <x:c r="D137" s="13" t="str">
        <x:v>ON</x:v>
      </x:c>
      <x:c r="E137" s="13" t="str">
        <x:v>riverstone.technology@example.com</x:v>
      </x:c>
      <x:c r="F137" s="13" t="str">
        <x:v>Corporate</x:v>
      </x:c>
      <x:c r="G137" s="36" t="n">
        <x:v>46088</x:v>
      </x:c>
    </x:row>
    <x:row r="138">
      <x:c r="A138" s="13" t="str">
        <x:v>C137</x:v>
      </x:c>
      <x:c r="B138" s="13" t="str">
        <x:v>Westgate Events</x:v>
      </x:c>
      <x:c r="C138" s="13" t="str">
        <x:v>Hamilton</x:v>
      </x:c>
      <x:c r="D138" s="13" t="str">
        <x:v>ON</x:v>
      </x:c>
      <x:c r="E138" s="13" t="str">
        <x:v>westgate.events@example.com</x:v>
      </x:c>
      <x:c r="F138" s="13" t="str">
        <x:v>Education</x:v>
      </x:c>
      <x:c r="G138" s="36" t="n">
        <x:v>44991</x:v>
      </x:c>
    </x:row>
    <x:row r="139">
      <x:c r="A139" s="13" t="str">
        <x:v>C138</x:v>
      </x:c>
      <x:c r="B139" s="13" t="str">
        <x:v>Highland Dental Group</x:v>
      </x:c>
      <x:c r="C139" s="13" t="str">
        <x:v>Toronto</x:v>
      </x:c>
      <x:c r="D139" s="13" t="str">
        <x:v>ON</x:v>
      </x:c>
      <x:c r="E139" s="13" t="str">
        <x:v>highland.dental.group@example.com</x:v>
      </x:c>
      <x:c r="F139" s="13" t="str">
        <x:v>Education</x:v>
      </x:c>
      <x:c r="G139" s="36" t="n">
        <x:v>45913</x:v>
      </x:c>
    </x:row>
    <x:row r="140">
      <x:c r="A140" s="13" t="str">
        <x:v>C139</x:v>
      </x:c>
      <x:c r="B140" s="13" t="str">
        <x:v>Cedar Design Studio</x:v>
      </x:c>
      <x:c r="C140" s="13" t="str">
        <x:v>London</x:v>
      </x:c>
      <x:c r="D140" s="13" t="str">
        <x:v>ON</x:v>
      </x:c>
      <x:c r="E140" s="13" t="str">
        <x:v>cedar.design.studio@example.com</x:v>
      </x:c>
      <x:c r="F140" s="13" t="str">
        <x:v>Nonprofit</x:v>
      </x:c>
      <x:c r="G140" s="36" t="n">
        <x:v>46225</x:v>
      </x:c>
    </x:row>
    <x:row r="141">
      <x:c r="A141" s="13" t="str">
        <x:v>C140</x:v>
      </x:c>
      <x:c r="B141" s="13" t="str">
        <x:v>Compass Legal Services</x:v>
      </x:c>
      <x:c r="C141" s="13" t="str">
        <x:v>Ottawa</x:v>
      </x:c>
      <x:c r="D141" s="13" t="str">
        <x:v>ON</x:v>
      </x:c>
      <x:c r="E141" s="13" t="str">
        <x:v>compass.legal.services@example.com</x:v>
      </x:c>
      <x:c r="F141" s="13" t="str">
        <x:v>Small Business</x:v>
      </x:c>
      <x:c r="G141" s="36" t="n">
        <x:v>45816</x:v>
      </x:c>
    </x:row>
    <x:row r="142">
      <x:c r="A142" s="13" t="str">
        <x:v>C141</x:v>
      </x:c>
      <x:c r="B142" s="13" t="str">
        <x:v>Silver Birch Media</x:v>
      </x:c>
      <x:c r="C142" s="13" t="str">
        <x:v>Halifax</x:v>
      </x:c>
      <x:c r="D142" s="13" t="str">
        <x:v>NS</x:v>
      </x:c>
      <x:c r="E142" s="13" t="str">
        <x:v>silver.birch.media@example.com</x:v>
      </x:c>
      <x:c r="F142" s="13" t="str">
        <x:v>Nonprofit</x:v>
      </x:c>
      <x:c r="G142" s="36" t="n">
        <x:v>45125</x:v>
      </x:c>
    </x:row>
    <x:row r="143">
      <x:c r="A143" s="13" t="str">
        <x:v>C142</x:v>
      </x:c>
      <x:c r="B143" s="13" t="str">
        <x:v>Redwood Retail</x:v>
      </x:c>
      <x:c r="C143" s="13" t="str">
        <x:v>Vancouver</x:v>
      </x:c>
      <x:c r="D143" s="13" t="str">
        <x:v>BC</x:v>
      </x:c>
      <x:c r="E143" s="13" t="str">
        <x:v>redwood.retail@example.com</x:v>
      </x:c>
      <x:c r="F143" s="13" t="str">
        <x:v>Nonprofit</x:v>
      </x:c>
      <x:c r="G143" s="36" t="n">
        <x:v>44775</x:v>
      </x:c>
    </x:row>
    <x:row r="144">
      <x:c r="A144" s="13" t="str">
        <x:v>C143</x:v>
      </x:c>
      <x:c r="B144" s="13" t="str">
        <x:v>Redwood Accounting</x:v>
      </x:c>
      <x:c r="C144" s="13" t="str">
        <x:v>Halifax</x:v>
      </x:c>
      <x:c r="D144" s="13" t="str">
        <x:v>NS</x:v>
      </x:c>
      <x:c r="E144" s="13" t="str">
        <x:v>redwood.accounting@example.com</x:v>
      </x:c>
      <x:c r="F144" s="13" t="str">
        <x:v>Corporate</x:v>
      </x:c>
      <x:c r="G144" s="36" t="n">
        <x:v>45263</x:v>
      </x:c>
    </x:row>
    <x:row r="145">
      <x:c r="A145" s="13" t="str">
        <x:v>C144</x:v>
      </x:c>
      <x:c r="B145" s="13" t="str">
        <x:v>Bluebird Dental Group</x:v>
      </x:c>
      <x:c r="C145" s="13" t="str">
        <x:v>Vancouver</x:v>
      </x:c>
      <x:c r="D145" s="13" t="str">
        <x:v>BC</x:v>
      </x:c>
      <x:c r="E145" s="13" t="str">
        <x:v>bluebird.dental.group@example.com</x:v>
      </x:c>
      <x:c r="F145" s="13" t="str">
        <x:v>Nonprofit</x:v>
      </x:c>
      <x:c r="G145" s="36" t="n">
        <x:v>45991</x:v>
      </x:c>
    </x:row>
    <x:row r="146">
      <x:c r="A146" s="13" t="str">
        <x:v>C145</x:v>
      </x:c>
      <x:c r="B146" s="13" t="str">
        <x:v>Meadow Technology</x:v>
      </x:c>
      <x:c r="C146" s="13" t="str">
        <x:v>Montreal</x:v>
      </x:c>
      <x:c r="D146" s="13" t="str">
        <x:v>QC</x:v>
      </x:c>
      <x:c r="E146" s="13" t="str">
        <x:v>meadow.technology@example.com</x:v>
      </x:c>
      <x:c r="F146" s="13" t="str">
        <x:v>Education</x:v>
      </x:c>
      <x:c r="G146" s="36" t="n">
        <x:v>45496</x:v>
      </x:c>
    </x:row>
    <x:row r="147">
      <x:c r="A147" s="13" t="str">
        <x:v>C146</x:v>
      </x:c>
      <x:c r="B147" s="13" t="str">
        <x:v>Northfield Logistics</x:v>
      </x:c>
      <x:c r="C147" s="13" t="str">
        <x:v>London</x:v>
      </x:c>
      <x:c r="D147" s="13" t="str">
        <x:v>ON</x:v>
      </x:c>
      <x:c r="E147" s="13" t="str">
        <x:v>northfield.logistics@example.com</x:v>
      </x:c>
      <x:c r="F147" s="13" t="str">
        <x:v>Corporate</x:v>
      </x:c>
      <x:c r="G147" s="36" t="n">
        <x:v>45890</x:v>
      </x:c>
    </x:row>
    <x:row r="148">
      <x:c r="A148" s="13" t="str">
        <x:v>C147</x:v>
      </x:c>
      <x:c r="B148" s="13" t="str">
        <x:v>Redwood Engineering</x:v>
      </x:c>
      <x:c r="C148" s="13" t="str">
        <x:v>London</x:v>
      </x:c>
      <x:c r="D148" s="13" t="str">
        <x:v>ON</x:v>
      </x:c>
      <x:c r="E148" s="13" t="str">
        <x:v>redwood.engineering@example.com</x:v>
      </x:c>
      <x:c r="F148" s="13" t="str">
        <x:v>Small Business</x:v>
      </x:c>
      <x:c r="G148" s="36" t="n">
        <x:v>45771</x:v>
      </x:c>
    </x:row>
    <x:row r="149">
      <x:c r="A149" s="13" t="str">
        <x:v>C148</x:v>
      </x:c>
      <x:c r="B149" s="13" t="str">
        <x:v>Parkview Nonprofit Society</x:v>
      </x:c>
      <x:c r="C149" s="13" t="str">
        <x:v>Mississauga</x:v>
      </x:c>
      <x:c r="D149" s="13" t="str">
        <x:v>ON</x:v>
      </x:c>
      <x:c r="E149" s="13" t="str">
        <x:v>parkview.nonprofit.society@example.com</x:v>
      </x:c>
      <x:c r="F149" s="13" t="str">
        <x:v>Nonprofit</x:v>
      </x:c>
      <x:c r="G149" s="36" t="n">
        <x:v>45368</x:v>
      </x:c>
    </x:row>
    <x:row r="150">
      <x:c r="A150" s="13" t="str">
        <x:v>C021</x:v>
      </x:c>
      <x:c r="B150" s="13" t="str">
        <x:v>Maple Retail</x:v>
      </x:c>
      <x:c r="C150" s="13" t="str">
        <x:v>Toronto</x:v>
      </x:c>
      <x:c r="D150" s="13" t="str">
        <x:v>ON</x:v>
      </x:c>
      <x:c r="E150" s="13" t="str">
        <x:v>maple.retail@example.com</x:v>
      </x:c>
      <x:c r="F150" s="13" t="str">
        <x:v>Small Business</x:v>
      </x:c>
      <x:c r="G150" s="36" t="n">
        <x:v>44966</x:v>
      </x:c>
    </x:row>
    <x:row r="151">
      <x:c r="A151" s="13" t="str">
        <x:v>C055</x:v>
      </x:c>
      <x:c r="B151" s="13" t="str">
        <x:v>Harbour Construction</x:v>
      </x:c>
      <x:c r="C151" s="13" t="str">
        <x:v>Kitchener</x:v>
      </x:c>
      <x:c r="D151" s="13" t="str">
        <x:v>ON</x:v>
      </x:c>
      <x:c r="E151" s="13" t="str">
        <x:v>harbour.construction@example.com</x:v>
      </x:c>
      <x:c r="F151" s="13" t="str">
        <x:v>Nonprofit</x:v>
      </x:c>
      <x:c r="G151" s="36" t="n">
        <x:v>44844</x:v>
      </x:c>
    </x:row>
  </x:sheetData>
  <x:pageMargins left="0.7" right="0.7" top="0.75" bottom="0.75" header="0.3" footer="0.3"/>
  <x:tableParts count="1">
    <x:tablePart xmlns:r="http://schemas.openxmlformats.org/officeDocument/2006/relationships" r:id="Re66fd90b4b3049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4" t="str">
        <x:v>EmployeeID</x:v>
      </x:c>
      <x:c r="B1" s="34" t="str">
        <x:v>EmployeeName</x:v>
      </x:c>
      <x:c r="C1" s="34" t="str">
        <x:v>Department</x:v>
      </x:c>
      <x:c r="D1" s="34" t="str">
        <x:v>Role</x:v>
      </x:c>
      <x:c r="E1" s="34" t="str">
        <x:v>StartDate</x:v>
      </x:c>
      <x:c r="F1" s="34" t="str">
        <x:v>PerformanceScore</x:v>
      </x:c>
      <x:c r="G1" s="34" t="str">
        <x:v>TrainingComplete</x:v>
      </x:c>
      <x:c r="H1" s="34" t="str">
        <x:v>Status</x:v>
      </x:c>
    </x:row>
    <x:row r="2">
      <x:c r="A2" s="13" t="str">
        <x:v>E001</x:v>
      </x:c>
      <x:c r="B2" s="13" t="str">
        <x:v>Avery Chen</x:v>
      </x:c>
      <x:c r="C2" s="13" t="str">
        <x:v>Sales</x:v>
      </x:c>
      <x:c r="D2" s="13" t="str">
        <x:v>Associate</x:v>
      </x:c>
      <x:c r="E2" s="36" t="n">
        <x:v>45440</x:v>
      </x:c>
      <x:c r="F2" s="13" t="n">
        <x:v>4.5</x:v>
      </x:c>
      <x:c r="G2" s="13" t="str">
        <x:v>Yes</x:v>
      </x:c>
      <x:c r="H2" s="13" t="str">
        <x:v>Active</x:v>
      </x:c>
    </x:row>
    <x:row r="3">
      <x:c r="A3" s="13" t="str">
        <x:v>E002</x:v>
      </x:c>
      <x:c r="B3" s="13" t="str">
        <x:v>Jordan Patel</x:v>
      </x:c>
      <x:c r="C3" s="13" t="str">
        <x:v>Sales</x:v>
      </x:c>
      <x:c r="D3" s="13" t="str">
        <x:v>Manager</x:v>
      </x:c>
      <x:c r="E3" s="36" t="n">
        <x:v>43523</x:v>
      </x:c>
      <x:c r="F3" s="13" t="n">
        <x:v>4.1</x:v>
      </x:c>
      <x:c r="G3" s="13" t="str">
        <x:v>Yes</x:v>
      </x:c>
      <x:c r="H3" s="13" t="str">
        <x:v>Active</x:v>
      </x:c>
    </x:row>
    <x:row r="4">
      <x:c r="A4" s="13" t="str">
        <x:v>E003</x:v>
      </x:c>
      <x:c r="B4" s="13" t="str">
        <x:v>Morgan Thompson</x:v>
      </x:c>
      <x:c r="C4" s="13" t="str">
        <x:v>Customer Service</x:v>
      </x:c>
      <x:c r="D4" s="13" t="str">
        <x:v>Specialist</x:v>
      </x:c>
      <x:c r="E4" s="36" t="n">
        <x:v>44211</x:v>
      </x:c>
      <x:c r="F4" s="13" t="n">
        <x:v>4.8</x:v>
      </x:c>
      <x:c r="G4" s="13" t="str">
        <x:v>Yes</x:v>
      </x:c>
      <x:c r="H4" s="13" t="str">
        <x:v>Active</x:v>
      </x:c>
    </x:row>
    <x:row r="5">
      <x:c r="A5" s="13" t="str">
        <x:v>E004</x:v>
      </x:c>
      <x:c r="B5" s="13" t="str">
        <x:v>Casey Martin</x:v>
      </x:c>
      <x:c r="C5" s="13" t="str">
        <x:v>Sales</x:v>
      </x:c>
      <x:c r="D5" s="13" t="str">
        <x:v>Associate</x:v>
      </x:c>
      <x:c r="E5" s="36" t="n">
        <x:v>45581</x:v>
      </x:c>
      <x:c r="F5" s="13" t="n">
        <x:v>2.7</x:v>
      </x:c>
      <x:c r="G5" s="13" t="str">
        <x:v>Yes</x:v>
      </x:c>
      <x:c r="H5" s="13" t="str">
        <x:v>Active</x:v>
      </x:c>
    </x:row>
    <x:row r="6">
      <x:c r="A6" s="13" t="str">
        <x:v>E005</x:v>
      </x:c>
      <x:c r="B6" s="13" t="str">
        <x:v>Riley Singh</x:v>
      </x:c>
      <x:c r="C6" s="13" t="str">
        <x:v>Operations</x:v>
      </x:c>
      <x:c r="D6" s="13" t="str">
        <x:v>Associate</x:v>
      </x:c>
      <x:c r="E6" s="36" t="n">
        <x:v>44085</x:v>
      </x:c>
      <x:c r="F6" s="13" t="n">
        <x:v>3.8</x:v>
      </x:c>
      <x:c r="G6" s="13" t="str">
        <x:v>Yes</x:v>
      </x:c>
      <x:c r="H6" s="13" t="str">
        <x:v>Active</x:v>
      </x:c>
    </x:row>
    <x:row r="7">
      <x:c r="A7" s="13" t="str">
        <x:v>E006</x:v>
      </x:c>
      <x:c r="B7" s="13" t="str">
        <x:v>Taylor Roy</x:v>
      </x:c>
      <x:c r="C7" s="13" t="str">
        <x:v>Operations</x:v>
      </x:c>
      <x:c r="D7" s="13" t="str">
        <x:v>Coordinator</x:v>
      </x:c>
      <x:c r="E7" s="36" t="n">
        <x:v>45456</x:v>
      </x:c>
      <x:c r="F7" s="13" t="n">
        <x:v>3.2</x:v>
      </x:c>
      <x:c r="G7" s="13" t="str">
        <x:v>Yes</x:v>
      </x:c>
      <x:c r="H7" s="13" t="str">
        <x:v>Active</x:v>
      </x:c>
    </x:row>
    <x:row r="8">
      <x:c r="A8" s="13" t="str">
        <x:v>E007</x:v>
      </x:c>
      <x:c r="B8" s="13" t="str">
        <x:v>Cameron Nguyen</x:v>
      </x:c>
      <x:c r="C8" s="13" t="str">
        <x:v>Customer Service</x:v>
      </x:c>
      <x:c r="D8" s="13" t="str">
        <x:v>Associate</x:v>
      </x:c>
      <x:c r="E8" s="36" t="n">
        <x:v>45311</x:v>
      </x:c>
      <x:c r="F8" s="13" t="n">
        <x:v>3.7</x:v>
      </x:c>
      <x:c r="G8" s="13" t="str">
        <x:v>No</x:v>
      </x:c>
      <x:c r="H8" s="13" t="str">
        <x:v>Active</x:v>
      </x:c>
    </x:row>
    <x:row r="9">
      <x:c r="A9" s="13" t="str">
        <x:v>E008</x:v>
      </x:c>
      <x:c r="B9" s="13" t="str">
        <x:v>Priya Wilson</x:v>
      </x:c>
      <x:c r="C9" s="13" t="str">
        <x:v>Marketing</x:v>
      </x:c>
      <x:c r="D9" s="13" t="str">
        <x:v>Specialist</x:v>
      </x:c>
      <x:c r="E9" s="36" t="n">
        <x:v>44490</x:v>
      </x:c>
      <x:c r="F9" s="13" t="n">
        <x:v>3.2</x:v>
      </x:c>
      <x:c r="G9" s="13" t="str">
        <x:v>No</x:v>
      </x:c>
      <x:c r="H9" s="13" t="str">
        <x:v>Active</x:v>
      </x:c>
    </x:row>
    <x:row r="10">
      <x:c r="A10" s="13" t="str">
        <x:v>E009</x:v>
      </x:c>
      <x:c r="B10" s="13" t="str">
        <x:v>Nadia Khan</x:v>
      </x:c>
      <x:c r="C10" s="13" t="str">
        <x:v>Finance</x:v>
      </x:c>
      <x:c r="D10" s="13" t="str">
        <x:v>Coordinator</x:v>
      </x:c>
      <x:c r="E10" s="36" t="n">
        <x:v>44789</x:v>
      </x:c>
      <x:c r="F10" s="13" t="n">
        <x:v>4.8</x:v>
      </x:c>
      <x:c r="G10" s="13" t="str">
        <x:v>Yes</x:v>
      </x:c>
      <x:c r="H10" s="13" t="str">
        <x:v>Leave</x:v>
      </x:c>
    </x:row>
    <x:row r="11">
      <x:c r="A11" s="13" t="str">
        <x:v>E010</x:v>
      </x:c>
      <x:c r="B11" s="13" t="str">
        <x:v>Ethan Brown</x:v>
      </x:c>
      <x:c r="C11" s="13" t="str">
        <x:v>Sales</x:v>
      </x:c>
      <x:c r="D11" s="13" t="str">
        <x:v>Manager</x:v>
      </x:c>
      <x:c r="E11" s="36" t="n">
        <x:v>45953</x:v>
      </x:c>
      <x:c r="F11" s="13" t="n">
        <x:v>2.7</x:v>
      </x:c>
      <x:c r="G11" s="13" t="str">
        <x:v>Yes</x:v>
      </x:c>
      <x:c r="H11" s="13" t="str">
        <x:v>Active</x:v>
      </x:c>
    </x:row>
    <x:row r="12">
      <x:c r="A12" s="13" t="str">
        <x:v>E011</x:v>
      </x:c>
      <x:c r="B12" s="13" t="str">
        <x:v>Sofia Garcia</x:v>
      </x:c>
      <x:c r="C12" s="13" t="str">
        <x:v>Finance</x:v>
      </x:c>
      <x:c r="D12" s="13" t="str">
        <x:v>Analyst</x:v>
      </x:c>
      <x:c r="E12" s="36" t="n">
        <x:v>44567</x:v>
      </x:c>
      <x:c r="F12" s="13" t="n">
        <x:v>4.6</x:v>
      </x:c>
      <x:c r="G12" s="13" t="str">
        <x:v>Yes</x:v>
      </x:c>
      <x:c r="H12" s="13" t="str">
        <x:v>Active</x:v>
      </x:c>
    </x:row>
    <x:row r="13">
      <x:c r="A13" s="13" t="str">
        <x:v>E012</x:v>
      </x:c>
      <x:c r="B13" s="13" t="str">
        <x:v>Liam Lee</x:v>
      </x:c>
      <x:c r="C13" s="13" t="str">
        <x:v>Marketing</x:v>
      </x:c>
      <x:c r="D13" s="13" t="str">
        <x:v>Specialist</x:v>
      </x:c>
      <x:c r="E13" s="36" t="n">
        <x:v>44214</x:v>
      </x:c>
      <x:c r="F13" s="13" t="n">
        <x:v>4.2</x:v>
      </x:c>
      <x:c r="G13" s="13" t="str">
        <x:v>Yes</x:v>
      </x:c>
      <x:c r="H13" s="13" t="str">
        <x:v>Active</x:v>
      </x:c>
    </x:row>
    <x:row r="14">
      <x:c r="A14" s="13" t="str">
        <x:v>E013</x:v>
      </x:c>
      <x:c r="B14" s="13" t="str">
        <x:v>Maya Sharma</x:v>
      </x:c>
      <x:c r="C14" s="13" t="str">
        <x:v>Marketing</x:v>
      </x:c>
      <x:c r="D14" s="13" t="str">
        <x:v>Coordinator</x:v>
      </x:c>
      <x:c r="E14" s="36" t="n">
        <x:v>45341</x:v>
      </x:c>
      <x:c r="F14" s="13" t="n">
        <x:v>4.7</x:v>
      </x:c>
      <x:c r="G14" s="13" t="str">
        <x:v>Yes</x:v>
      </x:c>
      <x:c r="H14" s="13" t="str">
        <x:v>Active</x:v>
      </x:c>
    </x:row>
    <x:row r="15">
      <x:c r="A15" s="13" t="str">
        <x:v>E014</x:v>
      </x:c>
      <x:c r="B15" s="13" t="str">
        <x:v>Noah Miller</x:v>
      </x:c>
      <x:c r="C15" s="13" t="str">
        <x:v>Customer Service</x:v>
      </x:c>
      <x:c r="D15" s="13" t="str">
        <x:v>Manager</x:v>
      </x:c>
      <x:c r="E15" s="36" t="n">
        <x:v>44051</x:v>
      </x:c>
      <x:c r="F15" s="13" t="n">
        <x:v>3.2</x:v>
      </x:c>
      <x:c r="G15" s="13" t="str">
        <x:v>Yes</x:v>
      </x:c>
      <x:c r="H15" s="13" t="str">
        <x:v>Leave</x:v>
      </x:c>
    </x:row>
    <x:row r="16">
      <x:c r="A16" s="13" t="str">
        <x:v>E015</x:v>
      </x:c>
      <x:c r="B16" s="13" t="str">
        <x:v>Chloe Wong</x:v>
      </x:c>
      <x:c r="C16" s="13" t="str">
        <x:v>Finance</x:v>
      </x:c>
      <x:c r="D16" s="13" t="str">
        <x:v>Specialist</x:v>
      </x:c>
      <x:c r="E16" s="36" t="n">
        <x:v>44963</x:v>
      </x:c>
      <x:c r="F16" s="13" t="n">
        <x:v>3</x:v>
      </x:c>
      <x:c r="G16" s="13" t="str">
        <x:v>Yes</x:v>
      </x:c>
      <x:c r="H16" s="13" t="str">
        <x:v>Active</x:v>
      </x:c>
    </x:row>
    <x:row r="17">
      <x:c r="A17" s="13" t="str">
        <x:v>E016</x:v>
      </x:c>
      <x:c r="B17" s="13" t="str">
        <x:v>Arjun Davis</x:v>
      </x:c>
      <x:c r="C17" s="13" t="str">
        <x:v>Operations</x:v>
      </x:c>
      <x:c r="D17" s="13" t="str">
        <x:v>Associate</x:v>
      </x:c>
      <x:c r="E17" s="36" t="n">
        <x:v>45061</x:v>
      </x:c>
      <x:c r="F17" s="13" t="n">
        <x:v>4.2</x:v>
      </x:c>
      <x:c r="G17" s="13" t="str">
        <x:v>No</x:v>
      </x:c>
      <x:c r="H17" s="13" t="str">
        <x:v>Active</x:v>
      </x:c>
    </x:row>
    <x:row r="18">
      <x:c r="A18" s="13" t="str">
        <x:v>E017</x:v>
      </x:c>
      <x:c r="B18" s="13" t="str">
        <x:v>Leah Ahmed</x:v>
      </x:c>
      <x:c r="C18" s="13" t="str">
        <x:v>Sales</x:v>
      </x:c>
      <x:c r="D18" s="13" t="str">
        <x:v>Coordinator</x:v>
      </x:c>
      <x:c r="E18" s="36" t="n">
        <x:v>43912</x:v>
      </x:c>
      <x:c r="F18" s="13" t="n">
        <x:v>4.7</x:v>
      </x:c>
      <x:c r="G18" s="13" t="str">
        <x:v>No</x:v>
      </x:c>
      <x:c r="H18" s="13" t="str">
        <x:v>Leave</x:v>
      </x:c>
    </x:row>
    <x:row r="19">
      <x:c r="A19" s="13" t="str">
        <x:v>E018</x:v>
      </x:c>
      <x:c r="B19" s="13" t="str">
        <x:v>Owen Clark</x:v>
      </x:c>
      <x:c r="C19" s="13" t="str">
        <x:v>Customer Service</x:v>
      </x:c>
      <x:c r="D19" s="13" t="str">
        <x:v>Specialist</x:v>
      </x:c>
      <x:c r="E19" s="36" t="n">
        <x:v>44261</x:v>
      </x:c>
      <x:c r="F19" s="13" t="n">
        <x:v>4</x:v>
      </x:c>
      <x:c r="G19" s="13" t="str">
        <x:v>Yes</x:v>
      </x:c>
      <x:c r="H19" s="13" t="str">
        <x:v>Active</x:v>
      </x:c>
    </x:row>
    <x:row r="20">
      <x:c r="A20" s="13" t="str">
        <x:v>E019</x:v>
      </x:c>
      <x:c r="B20" s="13" t="str">
        <x:v>Mina Lewis</x:v>
      </x:c>
      <x:c r="C20" s="13" t="str">
        <x:v>Customer Service</x:v>
      </x:c>
      <x:c r="D20" s="13" t="str">
        <x:v>Manager</x:v>
      </x:c>
      <x:c r="E20" s="36" t="n">
        <x:v>45470</x:v>
      </x:c>
      <x:c r="F20" s="13" t="n">
        <x:v>3.5</x:v>
      </x:c>
      <x:c r="G20" s="13" t="str">
        <x:v>Yes</x:v>
      </x:c>
      <x:c r="H20" s="13" t="str">
        <x:v>Active</x:v>
      </x:c>
    </x:row>
    <x:row r="21">
      <x:c r="A21" s="13" t="str">
        <x:v>E020</x:v>
      </x:c>
      <x:c r="B21" s="13" t="str">
        <x:v>Lucas Young</x:v>
      </x:c>
      <x:c r="C21" s="13" t="str">
        <x:v>Finance</x:v>
      </x:c>
      <x:c r="D21" s="13" t="str">
        <x:v>Manager</x:v>
      </x:c>
      <x:c r="E21" s="36" t="n">
        <x:v>45780</x:v>
      </x:c>
      <x:c r="F21" s="13" t="n">
        <x:v>4.4</x:v>
      </x:c>
      <x:c r="G21" s="13" t="str">
        <x:v>Yes</x:v>
      </x:c>
      <x:c r="H21" s="13" t="str">
        <x:v>Active</x:v>
      </x:c>
    </x:row>
    <x:row r="22">
      <x:c r="A22" s="13" t="str">
        <x:v>E021</x:v>
      </x:c>
      <x:c r="B22" s="13" t="str">
        <x:v>Isabel Taylor</x:v>
      </x:c>
      <x:c r="C22" s="13" t="str">
        <x:v>Marketing</x:v>
      </x:c>
      <x:c r="D22" s="13" t="str">
        <x:v>Manager</x:v>
      </x:c>
      <x:c r="E22" s="36" t="n">
        <x:v>45767</x:v>
      </x:c>
      <x:c r="F22" s="13" t="n">
        <x:v>3.1</x:v>
      </x:c>
      <x:c r="G22" s="13" t="str">
        <x:v>Yes</x:v>
      </x:c>
      <x:c r="H22" s="13" t="str">
        <x:v>Active</x:v>
      </x:c>
    </x:row>
    <x:row r="23">
      <x:c r="A23" s="13" t="str">
        <x:v>E022</x:v>
      </x:c>
      <x:c r="B23" s="13" t="str">
        <x:v>Daniel Walker</x:v>
      </x:c>
      <x:c r="C23" s="13" t="str">
        <x:v>Customer Service</x:v>
      </x:c>
      <x:c r="D23" s="13" t="str">
        <x:v>Specialist</x:v>
      </x:c>
      <x:c r="E23" s="36" t="n">
        <x:v>44137</x:v>
      </x:c>
      <x:c r="F23" s="13" t="n">
        <x:v>3.5</x:v>
      </x:c>
      <x:c r="G23" s="13" t="str">
        <x:v>Yes</x:v>
      </x:c>
      <x:c r="H23" s="13" t="str">
        <x:v>Active</x:v>
      </x:c>
    </x:row>
    <x:row r="24">
      <x:c r="A24" s="13" t="str">
        <x:v>E023</x:v>
      </x:c>
      <x:c r="B24" s="13" t="str">
        <x:v>Meera King</x:v>
      </x:c>
      <x:c r="C24" s="13" t="str">
        <x:v>Marketing</x:v>
      </x:c>
      <x:c r="D24" s="13" t="str">
        <x:v>Manager</x:v>
      </x:c>
      <x:c r="E24" s="36" t="n">
        <x:v>43595</x:v>
      </x:c>
      <x:c r="F24" s="13" t="n">
        <x:v>3.8</x:v>
      </x:c>
      <x:c r="G24" s="13" t="str">
        <x:v>Yes</x:v>
      </x:c>
      <x:c r="H24" s="13" t="str">
        <x:v>Leave</x:v>
      </x:c>
    </x:row>
    <x:row r="25">
      <x:c r="A25" s="13" t="str">
        <x:v>E024</x:v>
      </x:c>
      <x:c r="B25" s="13" t="str">
        <x:v>Henry Hall</x:v>
      </x:c>
      <x:c r="C25" s="13" t="str">
        <x:v>Finance</x:v>
      </x:c>
      <x:c r="D25" s="13" t="str">
        <x:v>Analyst</x:v>
      </x:c>
      <x:c r="E25" s="36" t="n">
        <x:v>44500</x:v>
      </x:c>
      <x:c r="F25" s="13" t="n">
        <x:v>4.8</x:v>
      </x:c>
      <x:c r="G25" s="13" t="str">
        <x:v>Yes</x:v>
      </x:c>
      <x:c r="H25" s="13" t="str">
        <x:v>Active</x:v>
      </x:c>
    </x:row>
    <x:row r="26">
      <x:c r="A26" s="13" t="str">
        <x:v>E025</x:v>
      </x:c>
      <x:c r="B26" s="13" t="str">
        <x:v>Zoe Green</x:v>
      </x:c>
      <x:c r="C26" s="13" t="str">
        <x:v>Finance</x:v>
      </x:c>
      <x:c r="D26" s="13" t="str">
        <x:v>Manager</x:v>
      </x:c>
      <x:c r="E26" s="36" t="n">
        <x:v>45253</x:v>
      </x:c>
      <x:c r="F26" s="13" t="n">
        <x:v>4.6</x:v>
      </x:c>
      <x:c r="G26" s="13" t="str">
        <x:v>Yes</x:v>
      </x:c>
      <x:c r="H26" s="13" t="str">
        <x:v>Active</x:v>
      </x:c>
    </x:row>
    <x:row r="27">
      <x:c r="A27" s="13" t="str">
        <x:v>E026</x:v>
      </x:c>
      <x:c r="B27" s="13" t="str">
        <x:v>Sam Baker</x:v>
      </x:c>
      <x:c r="C27" s="13" t="str">
        <x:v>Sales</x:v>
      </x:c>
      <x:c r="D27" s="13" t="str">
        <x:v>Specialist</x:v>
      </x:c>
      <x:c r="E27" s="36" t="n">
        <x:v>43507</x:v>
      </x:c>
      <x:c r="F27" s="13" t="n">
        <x:v>4.2</x:v>
      </x:c>
      <x:c r="G27" s="13" t="str">
        <x:v>Yes</x:v>
      </x:c>
      <x:c r="H27" s="13" t="str">
        <x:v>Active</x:v>
      </x:c>
    </x:row>
    <x:row r="28">
      <x:c r="A28" s="13" t="str">
        <x:v>E027</x:v>
      </x:c>
      <x:c r="B28" s="13" t="str">
        <x:v>Anika Adams</x:v>
      </x:c>
      <x:c r="C28" s="13" t="str">
        <x:v>Finance</x:v>
      </x:c>
      <x:c r="D28" s="13" t="str">
        <x:v>Manager</x:v>
      </x:c>
      <x:c r="E28" s="36" t="n">
        <x:v>45515</x:v>
      </x:c>
      <x:c r="F28" s="13" t="n">
        <x:v>3.2</x:v>
      </x:c>
      <x:c r="G28" s="13" t="str">
        <x:v>Yes</x:v>
      </x:c>
      <x:c r="H28" s="13" t="str">
        <x:v>Active</x:v>
      </x:c>
    </x:row>
    <x:row r="29">
      <x:c r="A29" s="13" t="str">
        <x:v>E028</x:v>
      </x:c>
      <x:c r="B29" s="13" t="str">
        <x:v>Julian Nelson</x:v>
      </x:c>
      <x:c r="C29" s="13" t="str">
        <x:v>Finance</x:v>
      </x:c>
      <x:c r="D29" s="13" t="str">
        <x:v>Coordinator</x:v>
      </x:c>
      <x:c r="E29" s="36" t="n">
        <x:v>43817</x:v>
      </x:c>
      <x:c r="F29" s="13" t="n">
        <x:v>4.5</x:v>
      </x:c>
      <x:c r="G29" s="13" t="str">
        <x:v>Yes</x:v>
      </x:c>
      <x:c r="H29" s="13" t="str">
        <x:v>Active</x:v>
      </x:c>
    </x:row>
    <x:row r="30">
      <x:c r="A30" s="13" t="str">
        <x:v>E029</x:v>
      </x:c>
      <x:c r="B30" s="13" t="str">
        <x:v>Grace Carter</x:v>
      </x:c>
      <x:c r="C30" s="13" t="str">
        <x:v>Marketing</x:v>
      </x:c>
      <x:c r="D30" s="13" t="str">
        <x:v>Associate</x:v>
      </x:c>
      <x:c r="E30" s="36" t="n">
        <x:v>45756</x:v>
      </x:c>
      <x:c r="F30" s="13" t="n">
        <x:v>4.6</x:v>
      </x:c>
      <x:c r="G30" s="13" t="str">
        <x:v>Yes</x:v>
      </x:c>
      <x:c r="H30" s="13" t="str">
        <x:v>Active</x:v>
      </x:c>
    </x:row>
    <x:row r="31">
      <x:c r="A31" s="13" t="str">
        <x:v>E030</x:v>
      </x:c>
      <x:c r="B31" s="13" t="str">
        <x:v>Dev Mitchell</x:v>
      </x:c>
      <x:c r="C31" s="13" t="str">
        <x:v>Finance</x:v>
      </x:c>
      <x:c r="D31" s="13" t="str">
        <x:v>Analyst</x:v>
      </x:c>
      <x:c r="E31" s="36" t="n">
        <x:v>44918</x:v>
      </x:c>
      <x:c r="F31" s="13" t="n">
        <x:v>4.8</x:v>
      </x:c>
      <x:c r="G31" s="13" t="str">
        <x:v>Yes</x:v>
      </x:c>
      <x:c r="H31" s="13" t="str">
        <x:v>Active</x:v>
      </x:c>
    </x:row>
    <x:row r="32">
      <x:c r="A32" s="13" t="str">
        <x:v>E031</x:v>
      </x:c>
      <x:c r="B32" s="13" t="str">
        <x:v>Claire Perez</x:v>
      </x:c>
      <x:c r="C32" s="13" t="str">
        <x:v>Operations</x:v>
      </x:c>
      <x:c r="D32" s="13" t="str">
        <x:v>Analyst</x:v>
      </x:c>
      <x:c r="E32" s="36" t="n">
        <x:v>43958</x:v>
      </x:c>
      <x:c r="F32" s="13" t="n">
        <x:v>3.1</x:v>
      </x:c>
      <x:c r="G32" s="13" t="str">
        <x:v>Yes</x:v>
      </x:c>
      <x:c r="H32" s="13" t="str">
        <x:v>Active</x:v>
      </x:c>
    </x:row>
    <x:row r="33">
      <x:c r="A33" s="13" t="str">
        <x:v>E032</x:v>
      </x:c>
      <x:c r="B33" s="13" t="str">
        <x:v>Marcus Roberts</x:v>
      </x:c>
      <x:c r="C33" s="13" t="str">
        <x:v>Marketing</x:v>
      </x:c>
      <x:c r="D33" s="13" t="str">
        <x:v>Coordinator</x:v>
      </x:c>
      <x:c r="E33" s="36" t="n">
        <x:v>44013</x:v>
      </x:c>
      <x:c r="F33" s="13" t="n">
        <x:v>2.8</x:v>
      </x:c>
      <x:c r="G33" s="13" t="str">
        <x:v>Yes</x:v>
      </x:c>
      <x:c r="H33" s="13" t="str">
        <x:v>Active</x:v>
      </x:c>
    </x:row>
    <x:row r="34">
      <x:c r="A34" s="13" t="str">
        <x:v>E033</x:v>
      </x:c>
      <x:c r="B34" s="13" t="str">
        <x:v>Tara Turner</x:v>
      </x:c>
      <x:c r="C34" s="13" t="str">
        <x:v>Customer Service</x:v>
      </x:c>
      <x:c r="D34" s="13" t="str">
        <x:v>Analyst</x:v>
      </x:c>
      <x:c r="E34" s="36" t="n">
        <x:v>45888</x:v>
      </x:c>
      <x:c r="F34" s="13" t="n">
        <x:v>4.6</x:v>
      </x:c>
      <x:c r="G34" s="13" t="str">
        <x:v>Yes</x:v>
      </x:c>
      <x:c r="H34" s="13" t="str">
        <x:v>Active</x:v>
      </x:c>
    </x:row>
    <x:row r="35">
      <x:c r="A35" s="13" t="str">
        <x:v>E034</x:v>
      </x:c>
      <x:c r="B35" s="13" t="str">
        <x:v>Eli Phillips</x:v>
      </x:c>
      <x:c r="C35" s="13" t="str">
        <x:v>Marketing</x:v>
      </x:c>
      <x:c r="D35" s="13" t="str">
        <x:v>Manager</x:v>
      </x:c>
      <x:c r="E35" s="36" t="n">
        <x:v>45609</x:v>
      </x:c>
      <x:c r="F35" s="13" t="n">
        <x:v>2.8</x:v>
      </x:c>
      <x:c r="G35" s="13" t="str">
        <x:v>Yes</x:v>
      </x:c>
      <x:c r="H35" s="13" t="str">
        <x:v>Active</x:v>
      </x:c>
    </x:row>
    <x:row r="36">
      <x:c r="A36" s="13" t="str">
        <x:v>E035</x:v>
      </x:c>
      <x:c r="B36" s="13" t="str">
        <x:v>Aisha Campbell</x:v>
      </x:c>
      <x:c r="C36" s="13" t="str">
        <x:v>Finance</x:v>
      </x:c>
      <x:c r="D36" s="13" t="str">
        <x:v>Analyst</x:v>
      </x:c>
      <x:c r="E36" s="36" t="n">
        <x:v>43854</x:v>
      </x:c>
      <x:c r="F36" s="13" t="n">
        <x:v>3.5</x:v>
      </x:c>
      <x:c r="G36" s="13" t="str">
        <x:v>Yes</x:v>
      </x:c>
      <x:c r="H36" s="13" t="str">
        <x:v>Active</x:v>
      </x:c>
    </x:row>
    <x:row r="37">
      <x:c r="A37" s="13" t="str">
        <x:v>E036</x:v>
      </x:c>
      <x:c r="B37" s="13" t="str">
        <x:v>Ben Parker</x:v>
      </x:c>
      <x:c r="C37" s="13" t="str">
        <x:v>Customer Service</x:v>
      </x:c>
      <x:c r="D37" s="13" t="str">
        <x:v>Specialist</x:v>
      </x:c>
      <x:c r="E37" s="36" t="n">
        <x:v>43942</x:v>
      </x:c>
      <x:c r="F37" s="13" t="n">
        <x:v>3.1</x:v>
      </x:c>
      <x:c r="G37" s="13" t="str">
        <x:v>No</x:v>
      </x:c>
      <x:c r="H37" s="13" t="str">
        <x:v>Active</x:v>
      </x:c>
    </x:row>
    <x:row r="38">
      <x:c r="A38" s="13" t="str">
        <x:v>E037</x:v>
      </x:c>
      <x:c r="B38" s="13" t="str">
        <x:v>Natalie Evans</x:v>
      </x:c>
      <x:c r="C38" s="13" t="str">
        <x:v>Sales</x:v>
      </x:c>
      <x:c r="D38" s="13" t="str">
        <x:v>Analyst</x:v>
      </x:c>
      <x:c r="E38" s="36" t="n">
        <x:v>44644</x:v>
      </x:c>
      <x:c r="F38" s="13" t="n">
        <x:v>3.3</x:v>
      </x:c>
      <x:c r="G38" s="13" t="str">
        <x:v>No</x:v>
      </x:c>
      <x:c r="H38" s="13" t="str">
        <x:v>Active</x:v>
      </x:c>
    </x:row>
    <x:row r="39">
      <x:c r="A39" s="13" t="str">
        <x:v>E038</x:v>
      </x:c>
      <x:c r="B39" s="13" t="str">
        <x:v>Victor Edwards</x:v>
      </x:c>
      <x:c r="C39" s="13" t="str">
        <x:v>Customer Service</x:v>
      </x:c>
      <x:c r="D39" s="13" t="str">
        <x:v>Specialist</x:v>
      </x:c>
      <x:c r="E39" s="36" t="n">
        <x:v>44263</x:v>
      </x:c>
      <x:c r="F39" s="13" t="n">
        <x:v>3.5</x:v>
      </x:c>
      <x:c r="G39" s="13" t="str">
        <x:v>No</x:v>
      </x:c>
      <x:c r="H39" s="13" t="str">
        <x:v>Active</x:v>
      </x:c>
    </x:row>
    <x:row r="40">
      <x:c r="A40" s="13" t="str">
        <x:v>E039</x:v>
      </x:c>
      <x:c r="B40" s="13" t="str">
        <x:v>Jasmin Collins</x:v>
      </x:c>
      <x:c r="C40" s="13" t="str">
        <x:v>Finance</x:v>
      </x:c>
      <x:c r="D40" s="13" t="str">
        <x:v>Associate</x:v>
      </x:c>
      <x:c r="E40" s="36" t="n">
        <x:v>44754</x:v>
      </x:c>
      <x:c r="F40" s="13" t="n">
        <x:v>3</x:v>
      </x:c>
      <x:c r="G40" s="13" t="str">
        <x:v>Yes</x:v>
      </x:c>
      <x:c r="H40" s="13" t="str">
        <x:v>Active</x:v>
      </x:c>
    </x:row>
    <x:row r="41">
      <x:c r="A41" s="13" t="str">
        <x:v>E040</x:v>
      </x:c>
      <x:c r="B41" s="13" t="str">
        <x:v>Leo Stewart</x:v>
      </x:c>
      <x:c r="C41" s="13" t="str">
        <x:v>Finance</x:v>
      </x:c>
      <x:c r="D41" s="13" t="str">
        <x:v>Associate</x:v>
      </x:c>
      <x:c r="E41" s="36" t="n">
        <x:v>44756</x:v>
      </x:c>
      <x:c r="F41" s="13" t="n">
        <x:v>2.8</x:v>
      </x:c>
      <x:c r="G41" s="13" t="str">
        <x:v>Yes</x:v>
      </x:c>
      <x:c r="H41" s="13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3b34c16eb90143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34" hidden="0" customWidth="1"/>
    <x:col min="13" max="13" width="34" hidden="0" customWidth="1"/>
  </x:cols>
  <x:sheetData>
    <x:row r="1">
      <x:c r="A1" s="34" t="str">
        <x:v>ProjectID</x:v>
      </x:c>
      <x:c r="B1" s="34" t="str">
        <x:v>Project</x:v>
      </x:c>
      <x:c r="C1" s="34" t="str">
        <x:v>OwnerID</x:v>
      </x:c>
      <x:c r="D1" s="34" t="str">
        <x:v>StartDate</x:v>
      </x:c>
      <x:c r="E1" s="34" t="str">
        <x:v>DueDate</x:v>
      </x:c>
      <x:c r="F1" s="34" t="str">
        <x:v>Status</x:v>
      </x:c>
      <x:c r="G1" s="34" t="str">
        <x:v>Priority</x:v>
      </x:c>
      <x:c r="H1" s="34" t="str">
        <x:v>PercentComplete</x:v>
      </x:c>
      <x:c r="I1" s="34" t="str">
        <x:v>Budget</x:v>
      </x:c>
      <x:c r="K1" s="58" t="str">
        <x:v>Visual Practice</x:v>
      </x:c>
      <x:c r="L1" s="58" t="str">
        <x:v>Rule</x:v>
      </x:c>
      <x:c r="M1" s="58" t="str">
        <x:v>Purpose</x:v>
      </x:c>
    </x:row>
    <x:row r="2">
      <x:c r="A2" s="13" t="str">
        <x:v>PRJ001</x:v>
      </x:c>
      <x:c r="B2" s="13" t="str">
        <x:v>Warehouse Inventory Refresh</x:v>
      </x:c>
      <x:c r="C2" s="13" t="str">
        <x:v>E038</x:v>
      </x:c>
      <x:c r="D2" s="36" t="n">
        <x:v>46166</x:v>
      </x:c>
      <x:c r="E2" s="36" t="n">
        <x:v>46226</x:v>
      </x:c>
      <x:c r="F2" s="13" t="str">
        <x:v>Not Started</x:v>
      </x:c>
      <x:c r="G2" s="13" t="str">
        <x:v>High</x:v>
      </x:c>
      <x:c r="H2" s="38" t="n">
        <x:v>0</x:v>
      </x:c>
      <x:c r="I2" s="13" t="n">
        <x:v>10500</x:v>
      </x:c>
      <x:c r="K2" s="13" t="str">
        <x:v>Overdue</x:v>
      </x:c>
      <x:c r="L2" s="13" t="str">
        <x:v>DueDate&lt;TODAY() and Status&lt;&gt;"Complete"</x:v>
      </x:c>
      <x:c r="M2" s="13" t="str">
        <x:v>Highlight work that needs attention</x:v>
      </x:c>
    </x:row>
    <x:row r="3">
      <x:c r="A3" s="13" t="str">
        <x:v>PRJ002</x:v>
      </x:c>
      <x:c r="B3" s="13" t="str">
        <x:v>Customer Portal Update</x:v>
      </x:c>
      <x:c r="C3" s="13" t="str">
        <x:v>E010</x:v>
      </x:c>
      <x:c r="D3" s="36" t="n">
        <x:v>46166</x:v>
      </x:c>
      <x:c r="E3" s="36" t="n">
        <x:v>46256</x:v>
      </x:c>
      <x:c r="F3" s="13" t="str">
        <x:v>In Progress</x:v>
      </x:c>
      <x:c r="G3" s="13" t="str">
        <x:v>Low</x:v>
      </x:c>
      <x:c r="H3" s="38" t="n">
        <x:v>0.65</x:v>
      </x:c>
      <x:c r="I3" s="13" t="n">
        <x:v>27500</x:v>
      </x:c>
      <x:c r="K3" s="13" t="str">
        <x:v>High Priority</x:v>
      </x:c>
      <x:c r="L3" s="13" t="str">
        <x:v>Priority="High"</x:v>
      </x:c>
      <x:c r="M3" s="13" t="str">
        <x:v>Make important work easy to scan</x:v>
      </x:c>
    </x:row>
    <x:row r="4">
      <x:c r="A4" s="13" t="str">
        <x:v>PRJ003</x:v>
      </x:c>
      <x:c r="B4" s="13" t="str">
        <x:v>Q1 Sales Enablement</x:v>
      </x:c>
      <x:c r="C4" s="13" t="str">
        <x:v>E004</x:v>
      </x:c>
      <x:c r="D4" s="36" t="n">
        <x:v>46127</x:v>
      </x:c>
      <x:c r="E4" s="36" t="n">
        <x:v>46202</x:v>
      </x:c>
      <x:c r="F4" s="13" t="str">
        <x:v>Blocked</x:v>
      </x:c>
      <x:c r="G4" s="13" t="str">
        <x:v>High</x:v>
      </x:c>
      <x:c r="H4" s="38" t="n">
        <x:v>0.15</x:v>
      </x:c>
      <x:c r="I4" s="13" t="n">
        <x:v>40000</x:v>
      </x:c>
      <x:c r="K4" s="13" t="str">
        <x:v>Blocked</x:v>
      </x:c>
      <x:c r="L4" s="13" t="str">
        <x:v>Status="Blocked"</x:v>
      </x:c>
      <x:c r="M4" s="13" t="str">
        <x:v>Surface stalled projects</x:v>
      </x:c>
    </x:row>
    <x:row r="5">
      <x:c r="A5" s="13" t="str">
        <x:v>PRJ004</x:v>
      </x:c>
      <x:c r="B5" s="13" t="str">
        <x:v>Expense Policy Rollout</x:v>
      </x:c>
      <x:c r="C5" s="13" t="str">
        <x:v>E002</x:v>
      </x:c>
      <x:c r="D5" s="36" t="n">
        <x:v>46116</x:v>
      </x:c>
      <x:c r="E5" s="36" t="n">
        <x:v>46191</x:v>
      </x:c>
      <x:c r="F5" s="13" t="str">
        <x:v>In Progress</x:v>
      </x:c>
      <x:c r="G5" s="13" t="str">
        <x:v>High</x:v>
      </x:c>
      <x:c r="H5" s="38" t="n">
        <x:v>0.8</x:v>
      </x:c>
      <x:c r="I5" s="13" t="n">
        <x:v>28000</x:v>
      </x:c>
      <x:c r="K5" s="13" t="str">
        <x:v>Completion</x:v>
      </x:c>
      <x:c r="L5" s="13" t="str">
        <x:v>Data bars on PercentComplete</x:v>
      </x:c>
      <x:c r="M5" s="13" t="str">
        <x:v>Show progress visually</x:v>
      </x:c>
    </x:row>
    <x:row r="6">
      <x:c r="A6" s="13" t="str">
        <x:v>PRJ005</x:v>
      </x:c>
      <x:c r="B6" s="13" t="str">
        <x:v>Supplier Onboarding</x:v>
      </x:c>
      <x:c r="C6" s="13" t="str">
        <x:v>E008</x:v>
      </x:c>
      <x:c r="D6" s="36" t="n">
        <x:v>46081</x:v>
      </x:c>
      <x:c r="E6" s="36" t="n">
        <x:v>46102</x:v>
      </x:c>
      <x:c r="F6" s="13" t="str">
        <x:v>Complete</x:v>
      </x:c>
      <x:c r="G6" s="13" t="str">
        <x:v>Medium</x:v>
      </x:c>
      <x:c r="H6" s="38" t="n">
        <x:v>1</x:v>
      </x:c>
      <x:c r="I6" s="13" t="n">
        <x:v>5500</x:v>
      </x:c>
      <x:c r="K6" s="13" t="str">
        <x:v>Due Soon</x:v>
      </x:c>
      <x:c r="L6" s="13" t="str">
        <x:v>Due in next 14 days</x:v>
      </x:c>
      <x:c r="M6" s="13" t="str">
        <x:v>Spot approaching deadlines</x:v>
      </x:c>
    </x:row>
    <x:row r="7">
      <x:c r="A7" s="13" t="str">
        <x:v>PRJ006</x:v>
      </x:c>
      <x:c r="B7" s="13" t="str">
        <x:v>Toronto Office Move</x:v>
      </x:c>
      <x:c r="C7" s="13" t="str">
        <x:v>E040</x:v>
      </x:c>
      <x:c r="D7" s="36" t="n">
        <x:v>46185</x:v>
      </x:c>
      <x:c r="E7" s="36" t="n">
        <x:v>46199</x:v>
      </x:c>
      <x:c r="F7" s="13" t="str">
        <x:v>In Progress</x:v>
      </x:c>
      <x:c r="G7" s="13" t="str">
        <x:v>Low</x:v>
      </x:c>
      <x:c r="H7" s="38" t="n">
        <x:v>0.65</x:v>
      </x:c>
      <x:c r="I7" s="13" t="n">
        <x:v>5000</x:v>
      </x:c>
      <x:c r="K7" s="13" t="str">
        <x:v>Tip</x:v>
      </x:c>
      <x:c r="L7" s="13" t="str">
        <x:v>Apply rules to a copy first</x:v>
      </x:c>
      <x:c r="M7" s="13" t="str">
        <x:v>Confirm the right rows are highlighted</x:v>
      </x:c>
    </x:row>
    <x:row r="8">
      <x:c r="A8" s="13" t="str">
        <x:v>PRJ007</x:v>
      </x:c>
      <x:c r="B8" s="13" t="str">
        <x:v>Website Accessibility Review</x:v>
      </x:c>
      <x:c r="C8" s="13" t="str">
        <x:v>E018</x:v>
      </x:c>
      <x:c r="D8" s="36" t="n">
        <x:v>46196</x:v>
      </x:c>
      <x:c r="E8" s="36" t="n">
        <x:v>46286</x:v>
      </x:c>
      <x:c r="F8" s="13" t="str">
        <x:v>In Progress</x:v>
      </x:c>
      <x:c r="G8" s="13" t="str">
        <x:v>High</x:v>
      </x:c>
      <x:c r="H8" s="38" t="n">
        <x:v>0.5</x:v>
      </x:c>
      <x:c r="I8" s="13" t="n">
        <x:v>29500</x:v>
      </x:c>
    </x:row>
    <x:row r="9">
      <x:c r="A9" s="13" t="str">
        <x:v>PRJ008</x:v>
      </x:c>
      <x:c r="B9" s="13" t="str">
        <x:v>CRM Data Cleanup</x:v>
      </x:c>
      <x:c r="C9" s="13" t="str">
        <x:v>E030</x:v>
      </x:c>
      <x:c r="D9" s="36" t="n">
        <x:v>46171</x:v>
      </x:c>
      <x:c r="E9" s="36" t="n">
        <x:v>46261</x:v>
      </x:c>
      <x:c r="F9" s="13" t="str">
        <x:v>In Progress</x:v>
      </x:c>
      <x:c r="G9" s="13" t="str">
        <x:v>High</x:v>
      </x:c>
      <x:c r="H9" s="38" t="n">
        <x:v>0.35</x:v>
      </x:c>
      <x:c r="I9" s="13" t="n">
        <x:v>20000</x:v>
      </x:c>
    </x:row>
    <x:row r="10">
      <x:c r="A10" s="13" t="str">
        <x:v>PRJ009</x:v>
      </x:c>
      <x:c r="B10" s="13" t="str">
        <x:v>New Hire Onboarding Pack</x:v>
      </x:c>
      <x:c r="C10" s="13" t="str">
        <x:v>E025</x:v>
      </x:c>
      <x:c r="D10" s="36" t="n">
        <x:v>46035</x:v>
      </x:c>
      <x:c r="E10" s="36" t="n">
        <x:v>46049</x:v>
      </x:c>
      <x:c r="F10" s="13" t="str">
        <x:v>Blocked</x:v>
      </x:c>
      <x:c r="G10" s="13" t="str">
        <x:v>High</x:v>
      </x:c>
      <x:c r="H10" s="38" t="n">
        <x:v>0.4</x:v>
      </x:c>
      <x:c r="I10" s="13" t="n">
        <x:v>43500</x:v>
      </x:c>
    </x:row>
    <x:row r="11">
      <x:c r="A11" s="13" t="str">
        <x:v>PRJ010</x:v>
      </x:c>
      <x:c r="B11" s="13" t="str">
        <x:v>Quarterly Forecast Process</x:v>
      </x:c>
      <x:c r="C11" s="13" t="str">
        <x:v>E008</x:v>
      </x:c>
      <x:c r="D11" s="36" t="n">
        <x:v>46048</x:v>
      </x:c>
      <x:c r="E11" s="36" t="n">
        <x:v>46062</x:v>
      </x:c>
      <x:c r="F11" s="13" t="str">
        <x:v>In Progress</x:v>
      </x:c>
      <x:c r="G11" s="13" t="str">
        <x:v>Medium</x:v>
      </x:c>
      <x:c r="H11" s="38" t="n">
        <x:v>0.35</x:v>
      </x:c>
      <x:c r="I11" s="13" t="n">
        <x:v>7000</x:v>
      </x:c>
    </x:row>
    <x:row r="12">
      <x:c r="A12" s="13" t="str">
        <x:v>PRJ011</x:v>
      </x:c>
      <x:c r="B12" s="13" t="str">
        <x:v>Returns Workflow Redesign</x:v>
      </x:c>
      <x:c r="C12" s="13" t="str">
        <x:v>E030</x:v>
      </x:c>
      <x:c r="D12" s="36" t="n">
        <x:v>46041</x:v>
      </x:c>
      <x:c r="E12" s="36" t="n">
        <x:v>46055</x:v>
      </x:c>
      <x:c r="F12" s="13" t="str">
        <x:v>Not Started</x:v>
      </x:c>
      <x:c r="G12" s="13" t="str">
        <x:v>Medium</x:v>
      </x:c>
      <x:c r="H12" s="38" t="n">
        <x:v>0</x:v>
      </x:c>
      <x:c r="I12" s="13" t="n">
        <x:v>24000</x:v>
      </x:c>
    </x:row>
    <x:row r="13">
      <x:c r="A13" s="13" t="str">
        <x:v>PRJ012</x:v>
      </x:c>
      <x:c r="B13" s="13" t="str">
        <x:v>Product Catalog Refresh</x:v>
      </x:c>
      <x:c r="C13" s="13" t="str">
        <x:v>E003</x:v>
      </x:c>
      <x:c r="D13" s="36" t="n">
        <x:v>46133</x:v>
      </x:c>
      <x:c r="E13" s="36" t="n">
        <x:v>46147</x:v>
      </x:c>
      <x:c r="F13" s="13" t="str">
        <x:v>In Progress</x:v>
      </x:c>
      <x:c r="G13" s="13" t="str">
        <x:v>Low</x:v>
      </x:c>
      <x:c r="H13" s="38" t="n">
        <x:v>0.8</x:v>
      </x:c>
      <x:c r="I13" s="13" t="n">
        <x:v>11000</x:v>
      </x:c>
    </x:row>
    <x:row r="14">
      <x:c r="A14" s="13" t="str">
        <x:v>PRJ013</x:v>
      </x:c>
      <x:c r="B14" s="13" t="str">
        <x:v>Help Desk Knowledge Base</x:v>
      </x:c>
      <x:c r="C14" s="13" t="str">
        <x:v>E024</x:v>
      </x:c>
      <x:c r="D14" s="36" t="n">
        <x:v>46074</x:v>
      </x:c>
      <x:c r="E14" s="36" t="n">
        <x:v>46095</x:v>
      </x:c>
      <x:c r="F14" s="13" t="str">
        <x:v>Not Started</x:v>
      </x:c>
      <x:c r="G14" s="13" t="str">
        <x:v>High</x:v>
      </x:c>
      <x:c r="H14" s="38" t="n">
        <x:v>0</x:v>
      </x:c>
      <x:c r="I14" s="13" t="n">
        <x:v>27000</x:v>
      </x:c>
    </x:row>
    <x:row r="15">
      <x:c r="A15" s="13" t="str">
        <x:v>PRJ014</x:v>
      </x:c>
      <x:c r="B15" s="13" t="str">
        <x:v>Invoice Automation Pilot</x:v>
      </x:c>
      <x:c r="C15" s="13" t="str">
        <x:v>E030</x:v>
      </x:c>
      <x:c r="D15" s="36" t="n">
        <x:v>46184</x:v>
      </x:c>
      <x:c r="E15" s="36" t="n">
        <x:v>46244</x:v>
      </x:c>
      <x:c r="F15" s="13" t="str">
        <x:v>Complete</x:v>
      </x:c>
      <x:c r="G15" s="13" t="str">
        <x:v>High</x:v>
      </x:c>
      <x:c r="H15" s="38" t="n">
        <x:v>1</x:v>
      </x:c>
      <x:c r="I15" s="13" t="n">
        <x:v>39500</x:v>
      </x:c>
    </x:row>
    <x:row r="16">
      <x:c r="A16" s="13" t="str">
        <x:v>PRJ015</x:v>
      </x:c>
      <x:c r="B16" s="13" t="str">
        <x:v>Packaging Cost Review</x:v>
      </x:c>
      <x:c r="C16" s="13" t="str">
        <x:v>E011</x:v>
      </x:c>
      <x:c r="D16" s="36" t="n">
        <x:v>46103</x:v>
      </x:c>
      <x:c r="E16" s="36" t="n">
        <x:v>46148</x:v>
      </x:c>
      <x:c r="F16" s="13" t="str">
        <x:v>In Progress</x:v>
      </x:c>
      <x:c r="G16" s="13" t="str">
        <x:v>Medium</x:v>
      </x:c>
      <x:c r="H16" s="38" t="n">
        <x:v>0.35</x:v>
      </x:c>
      <x:c r="I16" s="13" t="n">
        <x:v>39500</x:v>
      </x:c>
    </x:row>
    <x:row r="17">
      <x:c r="A17" s="13" t="str">
        <x:v>PRJ016</x:v>
      </x:c>
      <x:c r="B17" s="13" t="str">
        <x:v>Cybersecurity Awareness Campaign</x:v>
      </x:c>
      <x:c r="C17" s="13" t="str">
        <x:v>E008</x:v>
      </x:c>
      <x:c r="D17" s="36" t="n">
        <x:v>46156</x:v>
      </x:c>
      <x:c r="E17" s="36" t="n">
        <x:v>46177</x:v>
      </x:c>
      <x:c r="F17" s="13" t="str">
        <x:v>Blocked</x:v>
      </x:c>
      <x:c r="G17" s="13" t="str">
        <x:v>Low</x:v>
      </x:c>
      <x:c r="H17" s="38" t="n">
        <x:v>0.4</x:v>
      </x:c>
      <x:c r="I17" s="13" t="n">
        <x:v>10000</x:v>
      </x:c>
    </x:row>
    <x:row r="18">
      <x:c r="A18" s="13" t="str">
        <x:v>PRJ017</x:v>
      </x:c>
      <x:c r="B18" s="13" t="str">
        <x:v>Vendor Contract Renewal</x:v>
      </x:c>
      <x:c r="C18" s="13" t="str">
        <x:v>E017</x:v>
      </x:c>
      <x:c r="D18" s="36" t="n">
        <x:v>46065</x:v>
      </x:c>
      <x:c r="E18" s="36" t="n">
        <x:v>46079</x:v>
      </x:c>
      <x:c r="F18" s="13" t="str">
        <x:v>Complete</x:v>
      </x:c>
      <x:c r="G18" s="13" t="str">
        <x:v>High</x:v>
      </x:c>
      <x:c r="H18" s="38" t="n">
        <x:v>1</x:v>
      </x:c>
      <x:c r="I18" s="13" t="n">
        <x:v>7500</x:v>
      </x:c>
    </x:row>
    <x:row r="19">
      <x:c r="A19" s="13" t="str">
        <x:v>PRJ018</x:v>
      </x:c>
      <x:c r="B19" s="13" t="str">
        <x:v>Email Marketing Migration</x:v>
      </x:c>
      <x:c r="C19" s="13" t="str">
        <x:v>E035</x:v>
      </x:c>
      <x:c r="D19" s="36" t="n">
        <x:v>46184</x:v>
      </x:c>
      <x:c r="E19" s="36" t="n">
        <x:v>46274</x:v>
      </x:c>
      <x:c r="F19" s="13" t="str">
        <x:v>In Progress</x:v>
      </x:c>
      <x:c r="G19" s="13" t="str">
        <x:v>High</x:v>
      </x:c>
      <x:c r="H19" s="38" t="n">
        <x:v>0.8</x:v>
      </x:c>
      <x:c r="I19" s="13" t="n">
        <x:v>45500</x:v>
      </x:c>
    </x:row>
    <x:row r="20">
      <x:c r="A20" s="13" t="str">
        <x:v>PRJ019</x:v>
      </x:c>
      <x:c r="B20" s="13" t="str">
        <x:v>Customer Survey Launch</x:v>
      </x:c>
      <x:c r="C20" s="13" t="str">
        <x:v>E027</x:v>
      </x:c>
      <x:c r="D20" s="36" t="n">
        <x:v>46200</x:v>
      </x:c>
      <x:c r="E20" s="36" t="n">
        <x:v>46214</x:v>
      </x:c>
      <x:c r="F20" s="13" t="str">
        <x:v>In Progress</x:v>
      </x:c>
      <x:c r="G20" s="13" t="str">
        <x:v>High</x:v>
      </x:c>
      <x:c r="H20" s="38" t="n">
        <x:v>0.5</x:v>
      </x:c>
      <x:c r="I20" s="13" t="n">
        <x:v>20500</x:v>
      </x:c>
    </x:row>
    <x:row r="21">
      <x:c r="A21" s="13" t="str">
        <x:v>PRJ020</x:v>
      </x:c>
      <x:c r="B21" s="13" t="str">
        <x:v>Shipping Carrier Review</x:v>
      </x:c>
      <x:c r="C21" s="13" t="str">
        <x:v>E012</x:v>
      </x:c>
      <x:c r="D21" s="36" t="n">
        <x:v>46056</x:v>
      </x:c>
      <x:c r="E21" s="36" t="n">
        <x:v>46101</x:v>
      </x:c>
      <x:c r="F21" s="13" t="str">
        <x:v>Blocked</x:v>
      </x:c>
      <x:c r="G21" s="13" t="str">
        <x:v>High</x:v>
      </x:c>
      <x:c r="H21" s="38" t="n">
        <x:v>0.4</x:v>
      </x:c>
      <x:c r="I21" s="13" t="n">
        <x:v>7500</x:v>
      </x:c>
    </x:row>
    <x:row r="22">
      <x:c r="A22" s="13" t="str">
        <x:v>PRJ021</x:v>
      </x:c>
      <x:c r="B22" s="13" t="str">
        <x:v>Monthly Reporting Standardization</x:v>
      </x:c>
      <x:c r="C22" s="13" t="str">
        <x:v>E026</x:v>
      </x:c>
      <x:c r="D22" s="36" t="n">
        <x:v>46065</x:v>
      </x:c>
      <x:c r="E22" s="36" t="n">
        <x:v>46079</x:v>
      </x:c>
      <x:c r="F22" s="13" t="str">
        <x:v>In Progress</x:v>
      </x:c>
      <x:c r="G22" s="13" t="str">
        <x:v>Medium</x:v>
      </x:c>
      <x:c r="H22" s="38" t="n">
        <x:v>0.8</x:v>
      </x:c>
      <x:c r="I22" s="13" t="n">
        <x:v>14000</x:v>
      </x:c>
    </x:row>
    <x:row r="23">
      <x:c r="A23" s="13" t="str">
        <x:v>PRJ022</x:v>
      </x:c>
      <x:c r="B23" s="13" t="str">
        <x:v>Laptop Replacement Program</x:v>
      </x:c>
      <x:c r="C23" s="13" t="str">
        <x:v>E037</x:v>
      </x:c>
      <x:c r="D23" s="36" t="n">
        <x:v>46189</x:v>
      </x:c>
      <x:c r="E23" s="36" t="n">
        <x:v>46264</x:v>
      </x:c>
      <x:c r="F23" s="13" t="str">
        <x:v>Complete</x:v>
      </x:c>
      <x:c r="G23" s="13" t="str">
        <x:v>Low</x:v>
      </x:c>
      <x:c r="H23" s="38" t="n">
        <x:v>1</x:v>
      </x:c>
      <x:c r="I23" s="13" t="n">
        <x:v>23500</x:v>
      </x:c>
    </x:row>
    <x:row r="24">
      <x:c r="A24" s="13" t="str">
        <x:v>PRJ023</x:v>
      </x:c>
      <x:c r="B24" s="13" t="str">
        <x:v>Sales Territory Review</x:v>
      </x:c>
      <x:c r="C24" s="13" t="str">
        <x:v>E006</x:v>
      </x:c>
      <x:c r="D24" s="36" t="n">
        <x:v>46039</x:v>
      </x:c>
      <x:c r="E24" s="36" t="n">
        <x:v>46069</x:v>
      </x:c>
      <x:c r="F24" s="13" t="str">
        <x:v>Blocked</x:v>
      </x:c>
      <x:c r="G24" s="13" t="str">
        <x:v>Low</x:v>
      </x:c>
      <x:c r="H24" s="38" t="n">
        <x:v>0.55</x:v>
      </x:c>
      <x:c r="I24" s="13" t="n">
        <x:v>50000</x:v>
      </x:c>
    </x:row>
    <x:row r="25">
      <x:c r="A25" s="13" t="str">
        <x:v>PRJ024</x:v>
      </x:c>
      <x:c r="B25" s="13" t="str">
        <x:v>Training Calendar Build</x:v>
      </x:c>
      <x:c r="C25" s="13" t="str">
        <x:v>E019</x:v>
      </x:c>
      <x:c r="D25" s="36" t="n">
        <x:v>46038</x:v>
      </x:c>
      <x:c r="E25" s="36" t="n">
        <x:v>46059</x:v>
      </x:c>
      <x:c r="F25" s="13" t="str">
        <x:v>In Progress</x:v>
      </x:c>
      <x:c r="G25" s="13" t="str">
        <x:v>Medium</x:v>
      </x:c>
      <x:c r="H25" s="38" t="n">
        <x:v>0.65</x:v>
      </x:c>
      <x:c r="I25" s="13" t="n">
        <x:v>5500</x:v>
      </x:c>
    </x:row>
    <x:row r="26">
      <x:c r="A26" s="13" t="str">
        <x:v>PRJ025</x:v>
      </x:c>
      <x:c r="B26" s="13" t="str">
        <x:v>Procurement Approval Update</x:v>
      </x:c>
      <x:c r="C26" s="13" t="str">
        <x:v>E010</x:v>
      </x:c>
      <x:c r="D26" s="36" t="n">
        <x:v>46056</x:v>
      </x:c>
      <x:c r="E26" s="36" t="n">
        <x:v>46070</x:v>
      </x:c>
      <x:c r="F26" s="13" t="str">
        <x:v>In Progress</x:v>
      </x:c>
      <x:c r="G26" s="13" t="str">
        <x:v>Medium</x:v>
      </x:c>
      <x:c r="H26" s="38" t="n">
        <x:v>0.8</x:v>
      </x:c>
      <x:c r="I26" s="13" t="n">
        <x:v>46500</x:v>
      </x:c>
    </x:row>
    <x:row r="27">
      <x:c r="A27" s="13" t="str">
        <x:v>PRJ026</x:v>
      </x:c>
      <x:c r="B27" s="13" t="str">
        <x:v>Office Wi-Fi Upgrade</x:v>
      </x:c>
      <x:c r="C27" s="13" t="str">
        <x:v>E038</x:v>
      </x:c>
      <x:c r="D27" s="36" t="n">
        <x:v>46096</x:v>
      </x:c>
      <x:c r="E27" s="36" t="n">
        <x:v>46126</x:v>
      </x:c>
      <x:c r="F27" s="13" t="str">
        <x:v>Complete</x:v>
      </x:c>
      <x:c r="G27" s="13" t="str">
        <x:v>Medium</x:v>
      </x:c>
      <x:c r="H27" s="38" t="n">
        <x:v>1</x:v>
      </x:c>
      <x:c r="I27" s="13" t="n">
        <x:v>28000</x:v>
      </x:c>
    </x:row>
    <x:row r="28">
      <x:c r="A28" s="13" t="str">
        <x:v>PRJ027</x:v>
      </x:c>
      <x:c r="B28" s="13" t="str">
        <x:v>Employee Recognition Program</x:v>
      </x:c>
      <x:c r="C28" s="13" t="str">
        <x:v>E034</x:v>
      </x:c>
      <x:c r="D28" s="36" t="n">
        <x:v>46069</x:v>
      </x:c>
      <x:c r="E28" s="36" t="n">
        <x:v>46144</x:v>
      </x:c>
      <x:c r="F28" s="13" t="str">
        <x:v>In Progress</x:v>
      </x:c>
      <x:c r="G28" s="13" t="str">
        <x:v>Low</x:v>
      </x:c>
      <x:c r="H28" s="38" t="n">
        <x:v>0.8</x:v>
      </x:c>
      <x:c r="I28" s="13" t="n">
        <x:v>26000</x:v>
      </x:c>
    </x:row>
    <x:row r="29">
      <x:c r="A29" s="13" t="str">
        <x:v>PRJ028</x:v>
      </x:c>
      <x:c r="B29" s="13" t="str">
        <x:v>Pricing Review</x:v>
      </x:c>
      <x:c r="C29" s="13" t="str">
        <x:v>E020</x:v>
      </x:c>
      <x:c r="D29" s="36" t="n">
        <x:v>46027</x:v>
      </x:c>
      <x:c r="E29" s="36" t="n">
        <x:v>46072</x:v>
      </x:c>
      <x:c r="F29" s="13" t="str">
        <x:v>In Progress</x:v>
      </x:c>
      <x:c r="G29" s="13" t="str">
        <x:v>Low</x:v>
      </x:c>
      <x:c r="H29" s="38" t="n">
        <x:v>0.65</x:v>
      </x:c>
      <x:c r="I29" s="13" t="n">
        <x:v>16000</x:v>
      </x:c>
    </x:row>
    <x:row r="30">
      <x:c r="A30" s="13" t="str">
        <x:v>PRJ029</x:v>
      </x:c>
      <x:c r="B30" s="13" t="str">
        <x:v>New Product Launch Support</x:v>
      </x:c>
      <x:c r="C30" s="13" t="str">
        <x:v>E018</x:v>
      </x:c>
      <x:c r="D30" s="36" t="n">
        <x:v>46042</x:v>
      </x:c>
      <x:c r="E30" s="36" t="n">
        <x:v>46056</x:v>
      </x:c>
      <x:c r="F30" s="13" t="str">
        <x:v>Blocked</x:v>
      </x:c>
      <x:c r="G30" s="13" t="str">
        <x:v>High</x:v>
      </x:c>
      <x:c r="H30" s="38" t="n">
        <x:v>0.25</x:v>
      </x:c>
      <x:c r="I30" s="13" t="n">
        <x:v>15000</x:v>
      </x:c>
    </x:row>
    <x:row r="31">
      <x:c r="A31" s="13" t="str">
        <x:v>PRJ030</x:v>
      </x:c>
      <x:c r="B31" s="13" t="str">
        <x:v>Finance Close Checklist</x:v>
      </x:c>
      <x:c r="C31" s="13" t="str">
        <x:v>E008</x:v>
      </x:c>
      <x:c r="D31" s="36" t="n">
        <x:v>46113</x:v>
      </x:c>
      <x:c r="E31" s="36" t="n">
        <x:v>46173</x:v>
      </x:c>
      <x:c r="F31" s="13" t="str">
        <x:v>In Progress</x:v>
      </x:c>
      <x:c r="G31" s="13" t="str">
        <x:v>High</x:v>
      </x:c>
      <x:c r="H31" s="38" t="n">
        <x:v>0.5</x:v>
      </x:c>
      <x:c r="I31" s="13" t="n">
        <x:v>30500</x:v>
      </x:c>
    </x:row>
    <x:row r="32">
      <x:c r="A32" s="13" t="str">
        <x:v>PRJ031</x:v>
      </x:c>
      <x:c r="B32" s="13" t="str">
        <x:v>Client Welcome Kit Redesign</x:v>
      </x:c>
      <x:c r="C32" s="13" t="str">
        <x:v>E017</x:v>
      </x:c>
      <x:c r="D32" s="36" t="n">
        <x:v>46118</x:v>
      </x:c>
      <x:c r="E32" s="36" t="n">
        <x:v>46139</x:v>
      </x:c>
      <x:c r="F32" s="13" t="str">
        <x:v>Not Started</x:v>
      </x:c>
      <x:c r="G32" s="13" t="str">
        <x:v>High</x:v>
      </x:c>
      <x:c r="H32" s="38" t="n">
        <x:v>0</x:v>
      </x:c>
      <x:c r="I32" s="13" t="n">
        <x:v>18000</x:v>
      </x:c>
    </x:row>
    <x:row r="33">
      <x:c r="A33" s="13" t="str">
        <x:v>PRJ032</x:v>
      </x:c>
      <x:c r="B33" s="13" t="str">
        <x:v>Demand Planning Pilot</x:v>
      </x:c>
      <x:c r="C33" s="13" t="str">
        <x:v>E038</x:v>
      </x:c>
      <x:c r="D33" s="36" t="n">
        <x:v>46055</x:v>
      </x:c>
      <x:c r="E33" s="36" t="n">
        <x:v>46130</x:v>
      </x:c>
      <x:c r="F33" s="13" t="str">
        <x:v>In Progress</x:v>
      </x:c>
      <x:c r="G33" s="13" t="str">
        <x:v>High</x:v>
      </x:c>
      <x:c r="H33" s="38" t="n">
        <x:v>0.8</x:v>
      </x:c>
      <x:c r="I33" s="13" t="n">
        <x:v>34500</x:v>
      </x:c>
    </x:row>
    <x:row r="34">
      <x:c r="A34" s="13" t="str">
        <x:v>PRJ033</x:v>
      </x:c>
      <x:c r="B34" s="13" t="str">
        <x:v>Service Desk Metrics</x:v>
      </x:c>
      <x:c r="C34" s="13" t="str">
        <x:v>E010</x:v>
      </x:c>
      <x:c r="D34" s="36" t="n">
        <x:v>46166</x:v>
      </x:c>
      <x:c r="E34" s="36" t="n">
        <x:v>46187</x:v>
      </x:c>
      <x:c r="F34" s="13" t="str">
        <x:v>Complete</x:v>
      </x:c>
      <x:c r="G34" s="13" t="str">
        <x:v>Low</x:v>
      </x:c>
      <x:c r="H34" s="38" t="n">
        <x:v>1</x:v>
      </x:c>
      <x:c r="I34" s="13" t="n">
        <x:v>20000</x:v>
      </x:c>
    </x:row>
    <x:row r="35">
      <x:c r="A35" s="13" t="str">
        <x:v>PRJ034</x:v>
      </x:c>
      <x:c r="B35" s="13" t="str">
        <x:v>Website Content Refresh</x:v>
      </x:c>
      <x:c r="C35" s="13" t="str">
        <x:v>E025</x:v>
      </x:c>
      <x:c r="D35" s="36" t="n">
        <x:v>46153</x:v>
      </x:c>
      <x:c r="E35" s="36" t="n">
        <x:v>46243</x:v>
      </x:c>
      <x:c r="F35" s="13" t="str">
        <x:v>Complete</x:v>
      </x:c>
      <x:c r="G35" s="13" t="str">
        <x:v>Low</x:v>
      </x:c>
      <x:c r="H35" s="38" t="n">
        <x:v>1</x:v>
      </x:c>
      <x:c r="I35" s="13" t="n">
        <x:v>29000</x:v>
      </x:c>
    </x:row>
    <x:row r="36">
      <x:c r="A36" s="13" t="str">
        <x:v>PRJ035</x:v>
      </x:c>
      <x:c r="B36" s="13" t="str">
        <x:v>Purchase Order Cleanup</x:v>
      </x:c>
      <x:c r="C36" s="13" t="str">
        <x:v>E016</x:v>
      </x:c>
      <x:c r="D36" s="36" t="n">
        <x:v>46067</x:v>
      </x:c>
      <x:c r="E36" s="36" t="n">
        <x:v>46088</x:v>
      </x:c>
      <x:c r="F36" s="13" t="str">
        <x:v>Blocked</x:v>
      </x:c>
      <x:c r="G36" s="13" t="str">
        <x:v>Medium</x:v>
      </x:c>
      <x:c r="H36" s="38" t="n">
        <x:v>0.25</x:v>
      </x:c>
      <x:c r="I36" s="13" t="n">
        <x:v>45500</x:v>
      </x:c>
    </x:row>
    <x:row r="37">
      <x:c r="A37" s="13" t="str">
        <x:v>PRJ036</x:v>
      </x:c>
      <x:c r="B37" s="13" t="str">
        <x:v>Expense Dashboard</x:v>
      </x:c>
      <x:c r="C37" s="13" t="str">
        <x:v>E040</x:v>
      </x:c>
      <x:c r="D37" s="36" t="n">
        <x:v>46119</x:v>
      </x:c>
      <x:c r="E37" s="36" t="n">
        <x:v>46133</x:v>
      </x:c>
      <x:c r="F37" s="13" t="str">
        <x:v>In Progress</x:v>
      </x:c>
      <x:c r="G37" s="13" t="str">
        <x:v>High</x:v>
      </x:c>
      <x:c r="H37" s="38" t="n">
        <x:v>0.65</x:v>
      </x:c>
      <x:c r="I37" s="13" t="n">
        <x:v>15500</x:v>
      </x:c>
    </x:row>
    <x:row r="38">
      <x:c r="A38" s="13" t="str">
        <x:v>PRJ037</x:v>
      </x:c>
      <x:c r="B38" s="13" t="str">
        <x:v>Remote Work Equipment Review</x:v>
      </x:c>
      <x:c r="C38" s="13" t="str">
        <x:v>E019</x:v>
      </x:c>
      <x:c r="D38" s="36" t="n">
        <x:v>46133</x:v>
      </x:c>
      <x:c r="E38" s="36" t="n">
        <x:v>46223</x:v>
      </x:c>
      <x:c r="F38" s="13" t="str">
        <x:v>Complete</x:v>
      </x:c>
      <x:c r="G38" s="13" t="str">
        <x:v>High</x:v>
      </x:c>
      <x:c r="H38" s="38" t="n">
        <x:v>1</x:v>
      </x:c>
      <x:c r="I38" s="13" t="n">
        <x:v>40500</x:v>
      </x:c>
    </x:row>
    <x:row r="39">
      <x:c r="A39" s="13" t="str">
        <x:v>PRJ038</x:v>
      </x:c>
      <x:c r="B39" s="13" t="str">
        <x:v>Customer Retention Campaign</x:v>
      </x:c>
      <x:c r="C39" s="13" t="str">
        <x:v>E028</x:v>
      </x:c>
      <x:c r="D39" s="36" t="n">
        <x:v>46108</x:v>
      </x:c>
      <x:c r="E39" s="36" t="n">
        <x:v>46138</x:v>
      </x:c>
      <x:c r="F39" s="13" t="str">
        <x:v>In Progress</x:v>
      </x:c>
      <x:c r="G39" s="13" t="str">
        <x:v>Medium</x:v>
      </x:c>
      <x:c r="H39" s="38" t="n">
        <x:v>0.35</x:v>
      </x:c>
      <x:c r="I39" s="13" t="n">
        <x:v>37500</x:v>
      </x:c>
    </x:row>
    <x:row r="40">
      <x:c r="A40" s="13" t="str">
        <x:v>PRJ039</x:v>
      </x:c>
      <x:c r="B40" s="13" t="str">
        <x:v>Inventory Cycle Count</x:v>
      </x:c>
      <x:c r="C40" s="13" t="str">
        <x:v>E028</x:v>
      </x:c>
      <x:c r="D40" s="36" t="n">
        <x:v>46119</x:v>
      </x:c>
      <x:c r="E40" s="36" t="n">
        <x:v>46140</x:v>
      </x:c>
      <x:c r="F40" s="13" t="str">
        <x:v>In Progress</x:v>
      </x:c>
      <x:c r="G40" s="13" t="str">
        <x:v>Low</x:v>
      </x:c>
      <x:c r="H40" s="38" t="n">
        <x:v>0.65</x:v>
      </x:c>
      <x:c r="I40" s="13" t="n">
        <x:v>32000</x:v>
      </x:c>
    </x:row>
    <x:row r="41">
      <x:c r="A41" s="13" t="str">
        <x:v>PRJ040</x:v>
      </x:c>
      <x:c r="B41" s="13" t="str">
        <x:v>Budget Reforecast</x:v>
      </x:c>
      <x:c r="C41" s="13" t="str">
        <x:v>E036</x:v>
      </x:c>
      <x:c r="D41" s="36" t="n">
        <x:v>46152</x:v>
      </x:c>
      <x:c r="E41" s="36" t="n">
        <x:v>46227</x:v>
      </x:c>
      <x:c r="F41" s="13" t="str">
        <x:v>Complete</x:v>
      </x:c>
      <x:c r="G41" s="13" t="str">
        <x:v>High</x:v>
      </x:c>
      <x:c r="H41" s="38" t="n">
        <x:v>1</x:v>
      </x:c>
      <x:c r="I41" s="13" t="n">
        <x:v>21500</x:v>
      </x:c>
    </x:row>
    <x:row r="42">
      <x:c r="A42" s="13" t="str">
        <x:v>PRJ041</x:v>
      </x:c>
      <x:c r="B42" s="13" t="str">
        <x:v>Supplier Scorecard</x:v>
      </x:c>
      <x:c r="C42" s="13" t="str">
        <x:v>E001</x:v>
      </x:c>
      <x:c r="D42" s="36" t="n">
        <x:v>46058</x:v>
      </x:c>
      <x:c r="E42" s="36" t="n">
        <x:v>46103</x:v>
      </x:c>
      <x:c r="F42" s="13" t="str">
        <x:v>Not Started</x:v>
      </x:c>
      <x:c r="G42" s="13" t="str">
        <x:v>Medium</x:v>
      </x:c>
      <x:c r="H42" s="38" t="n">
        <x:v>0</x:v>
      </x:c>
      <x:c r="I42" s="13" t="n">
        <x:v>44000</x:v>
      </x:c>
    </x:row>
    <x:row r="43">
      <x:c r="A43" s="13" t="str">
        <x:v>PRJ042</x:v>
      </x:c>
      <x:c r="B43" s="13" t="str">
        <x:v>Lead Handoff Process</x:v>
      </x:c>
      <x:c r="C43" s="13" t="str">
        <x:v>E005</x:v>
      </x:c>
      <x:c r="D43" s="36" t="n">
        <x:v>46178</x:v>
      </x:c>
      <x:c r="E43" s="36" t="n">
        <x:v>46253</x:v>
      </x:c>
      <x:c r="F43" s="13" t="str">
        <x:v>Complete</x:v>
      </x:c>
      <x:c r="G43" s="13" t="str">
        <x:v>Medium</x:v>
      </x:c>
      <x:c r="H43" s="38" t="n">
        <x:v>1</x:v>
      </x:c>
      <x:c r="I43" s="13" t="n">
        <x:v>15000</x:v>
      </x:c>
    </x:row>
    <x:row r="44">
      <x:c r="A44" s="13" t="str">
        <x:v>PRJ043</x:v>
      </x:c>
      <x:c r="B44" s="13" t="str">
        <x:v>Document Retention Cleanup</x:v>
      </x:c>
      <x:c r="C44" s="13" t="str">
        <x:v>E021</x:v>
      </x:c>
      <x:c r="D44" s="36" t="n">
        <x:v>46033</x:v>
      </x:c>
      <x:c r="E44" s="36" t="n">
        <x:v>46054</x:v>
      </x:c>
      <x:c r="F44" s="13" t="str">
        <x:v>Blocked</x:v>
      </x:c>
      <x:c r="G44" s="13" t="str">
        <x:v>Medium</x:v>
      </x:c>
      <x:c r="H44" s="38" t="n">
        <x:v>0.55</x:v>
      </x:c>
      <x:c r="I44" s="13" t="n">
        <x:v>47500</x:v>
      </x:c>
    </x:row>
    <x:row r="45">
      <x:c r="A45" s="13" t="str">
        <x:v>PRJ044</x:v>
      </x:c>
      <x:c r="B45" s="13" t="str">
        <x:v>Regional Sales Dashboard</x:v>
      </x:c>
      <x:c r="C45" s="13" t="str">
        <x:v>E012</x:v>
      </x:c>
      <x:c r="D45" s="36" t="n">
        <x:v>46103</x:v>
      </x:c>
      <x:c r="E45" s="36" t="n">
        <x:v>46193</x:v>
      </x:c>
      <x:c r="F45" s="13" t="str">
        <x:v>In Progress</x:v>
      </x:c>
      <x:c r="G45" s="13" t="str">
        <x:v>High</x:v>
      </x:c>
      <x:c r="H45" s="38" t="n">
        <x:v>0.5</x:v>
      </x:c>
      <x:c r="I45" s="13" t="n">
        <x:v>33500</x:v>
      </x:c>
    </x:row>
    <x:row r="46">
      <x:c r="A46" s="13" t="str">
        <x:v>PRJ045</x:v>
      </x:c>
      <x:c r="B46" s="13" t="str">
        <x:v>New Manager Toolkit</x:v>
      </x:c>
      <x:c r="C46" s="13" t="str">
        <x:v>E002</x:v>
      </x:c>
      <x:c r="D46" s="36" t="n">
        <x:v>46055</x:v>
      </x:c>
      <x:c r="E46" s="36" t="n">
        <x:v>46130</x:v>
      </x:c>
      <x:c r="F46" s="13" t="str">
        <x:v>Blocked</x:v>
      </x:c>
      <x:c r="G46" s="13" t="str">
        <x:v>Low</x:v>
      </x:c>
      <x:c r="H46" s="38" t="n">
        <x:v>0.4</x:v>
      </x:c>
      <x:c r="I46" s="13" t="n">
        <x:v>26000</x:v>
      </x:c>
    </x:row>
    <x:row r="47">
      <x:c r="A47" s="13" t="str">
        <x:v>PRJ046</x:v>
      </x:c>
      <x:c r="B47" s="13" t="str">
        <x:v>Customer Complaint Analysis</x:v>
      </x:c>
      <x:c r="C47" s="13" t="str">
        <x:v>E019</x:v>
      </x:c>
      <x:c r="D47" s="36" t="n">
        <x:v>46128</x:v>
      </x:c>
      <x:c r="E47" s="36" t="n">
        <x:v>46203</x:v>
      </x:c>
      <x:c r="F47" s="13" t="str">
        <x:v>In Progress</x:v>
      </x:c>
      <x:c r="G47" s="13" t="str">
        <x:v>Medium</x:v>
      </x:c>
      <x:c r="H47" s="38" t="n">
        <x:v>0.5</x:v>
      </x:c>
      <x:c r="I47" s="13" t="n">
        <x:v>38000</x:v>
      </x:c>
    </x:row>
    <x:row r="48">
      <x:c r="A48" s="13" t="str">
        <x:v>PRJ047</x:v>
      </x:c>
      <x:c r="B48" s="13" t="str">
        <x:v>Contract Template Refresh</x:v>
      </x:c>
      <x:c r="C48" s="13" t="str">
        <x:v>E004</x:v>
      </x:c>
      <x:c r="D48" s="36" t="n">
        <x:v>46115</x:v>
      </x:c>
      <x:c r="E48" s="36" t="n">
        <x:v>46145</x:v>
      </x:c>
      <x:c r="F48" s="13" t="str">
        <x:v>Not Started</x:v>
      </x:c>
      <x:c r="G48" s="13" t="str">
        <x:v>High</x:v>
      </x:c>
      <x:c r="H48" s="38" t="n">
        <x:v>0</x:v>
      </x:c>
      <x:c r="I48" s="13" t="n">
        <x:v>47500</x:v>
      </x:c>
    </x:row>
    <x:row r="49">
      <x:c r="A49" s="13" t="str">
        <x:v>PRJ048</x:v>
      </x:c>
      <x:c r="B49" s="13" t="str">
        <x:v>Training Needs Assessment</x:v>
      </x:c>
      <x:c r="C49" s="13" t="str">
        <x:v>E023</x:v>
      </x:c>
      <x:c r="D49" s="36" t="n">
        <x:v>46121</x:v>
      </x:c>
      <x:c r="E49" s="36" t="n">
        <x:v>46181</x:v>
      </x:c>
      <x:c r="F49" s="13" t="str">
        <x:v>In Progress</x:v>
      </x:c>
      <x:c r="G49" s="13" t="str">
        <x:v>High</x:v>
      </x:c>
      <x:c r="H49" s="38" t="n">
        <x:v>0.8</x:v>
      </x:c>
      <x:c r="I49" s="13" t="n">
        <x:v>25500</x:v>
      </x:c>
    </x:row>
    <x:row r="50">
      <x:c r="A50" s="13" t="str">
        <x:v>PRJ049</x:v>
      </x:c>
      <x:c r="B50" s="13" t="str">
        <x:v>Travel Booking Review</x:v>
      </x:c>
      <x:c r="C50" s="13" t="str">
        <x:v>E015</x:v>
      </x:c>
      <x:c r="D50" s="36" t="n">
        <x:v>46144</x:v>
      </x:c>
      <x:c r="E50" s="36" t="n">
        <x:v>46174</x:v>
      </x:c>
      <x:c r="F50" s="13" t="str">
        <x:v>Complete</x:v>
      </x:c>
      <x:c r="G50" s="13" t="str">
        <x:v>Medium</x:v>
      </x:c>
      <x:c r="H50" s="38" t="n">
        <x:v>1</x:v>
      </x:c>
      <x:c r="I50" s="13" t="n">
        <x:v>48000</x:v>
      </x:c>
    </x:row>
    <x:row r="51">
      <x:c r="A51" s="13" t="str">
        <x:v>PRJ050</x:v>
      </x:c>
      <x:c r="B51" s="13" t="str">
        <x:v>Data Privacy Checklist</x:v>
      </x:c>
      <x:c r="C51" s="13" t="str">
        <x:v>E001</x:v>
      </x:c>
      <x:c r="D51" s="36" t="n">
        <x:v>46202</x:v>
      </x:c>
      <x:c r="E51" s="36" t="n">
        <x:v>46292</x:v>
      </x:c>
      <x:c r="F51" s="13" t="str">
        <x:v>In Progress</x:v>
      </x:c>
      <x:c r="G51" s="13" t="str">
        <x:v>Low</x:v>
      </x:c>
      <x:c r="H51" s="38" t="n">
        <x:v>0.5</x:v>
      </x:c>
      <x:c r="I51" s="13" t="n">
        <x:v>43500</x:v>
      </x:c>
    </x:row>
    <x:row r="52">
      <x:c r="A52" s="13" t="str">
        <x:v>PRJ051</x:v>
      </x:c>
      <x:c r="B52" s="13" t="str">
        <x:v>Quarterly Business Review Pack</x:v>
      </x:c>
      <x:c r="C52" s="13" t="str">
        <x:v>E040</x:v>
      </x:c>
      <x:c r="D52" s="36" t="n">
        <x:v>46171</x:v>
      </x:c>
      <x:c r="E52" s="36" t="n">
        <x:v>46192</x:v>
      </x:c>
      <x:c r="F52" s="13" t="str">
        <x:v>Complete</x:v>
      </x:c>
      <x:c r="G52" s="13" t="str">
        <x:v>Low</x:v>
      </x:c>
      <x:c r="H52" s="38" t="n">
        <x:v>1</x:v>
      </x:c>
      <x:c r="I52" s="13" t="n">
        <x:v>22000</x:v>
      </x:c>
    </x:row>
    <x:row r="53">
      <x:c r="A53" s="13" t="str">
        <x:v>PRJ052</x:v>
      </x:c>
      <x:c r="B53" s="13" t="str">
        <x:v>Warehouse Safety Signage</x:v>
      </x:c>
      <x:c r="C53" s="13" t="str">
        <x:v>E026</x:v>
      </x:c>
      <x:c r="D53" s="36" t="n">
        <x:v>46197</x:v>
      </x:c>
      <x:c r="E53" s="36" t="n">
        <x:v>46272</x:v>
      </x:c>
      <x:c r="F53" s="13" t="str">
        <x:v>In Progress</x:v>
      </x:c>
      <x:c r="G53" s="13" t="str">
        <x:v>Medium</x:v>
      </x:c>
      <x:c r="H53" s="38" t="n">
        <x:v>0.5</x:v>
      </x:c>
      <x:c r="I53" s="13" t="n">
        <x:v>34000</x:v>
      </x:c>
    </x:row>
    <x:row r="54">
      <x:c r="A54" s="13" t="str">
        <x:v>PRJ053</x:v>
      </x:c>
      <x:c r="B54" s="13" t="str">
        <x:v>Marketing Asset Library</x:v>
      </x:c>
      <x:c r="C54" s="13" t="str">
        <x:v>E031</x:v>
      </x:c>
      <x:c r="D54" s="36" t="n">
        <x:v>46203</x:v>
      </x:c>
      <x:c r="E54" s="36" t="n">
        <x:v>46248</x:v>
      </x:c>
      <x:c r="F54" s="13" t="str">
        <x:v>In Progress</x:v>
      </x:c>
      <x:c r="G54" s="13" t="str">
        <x:v>High</x:v>
      </x:c>
      <x:c r="H54" s="38" t="n">
        <x:v>0.2</x:v>
      </x:c>
      <x:c r="I54" s="13" t="n">
        <x:v>22500</x:v>
      </x:c>
    </x:row>
    <x:row r="55">
      <x:c r="A55" s="13" t="str">
        <x:v>PRJ054</x:v>
      </x:c>
      <x:c r="B55" s="13" t="str">
        <x:v>Customer Account Cleanup</x:v>
      </x:c>
      <x:c r="C55" s="13" t="str">
        <x:v>E005</x:v>
      </x:c>
      <x:c r="D55" s="36" t="n">
        <x:v>46124</x:v>
      </x:c>
      <x:c r="E55" s="36" t="n">
        <x:v>46199</x:v>
      </x:c>
      <x:c r="F55" s="13" t="str">
        <x:v>Not Started</x:v>
      </x:c>
      <x:c r="G55" s="13" t="str">
        <x:v>Low</x:v>
      </x:c>
      <x:c r="H55" s="38" t="n">
        <x:v>0</x:v>
      </x:c>
      <x:c r="I55" s="13" t="n">
        <x:v>17000</x:v>
      </x:c>
    </x:row>
    <x:row r="56">
      <x:c r="A56" s="13" t="str">
        <x:v>PRJ055</x:v>
      </x:c>
      <x:c r="B56" s="13" t="str">
        <x:v>Sales Commission Audit</x:v>
      </x:c>
      <x:c r="C56" s="13" t="str">
        <x:v>E001</x:v>
      </x:c>
      <x:c r="D56" s="36" t="n">
        <x:v>46072</x:v>
      </x:c>
      <x:c r="E56" s="36" t="n">
        <x:v>46162</x:v>
      </x:c>
      <x:c r="F56" s="13" t="str">
        <x:v>In Progress</x:v>
      </x:c>
      <x:c r="G56" s="13" t="str">
        <x:v>Low</x:v>
      </x:c>
      <x:c r="H56" s="38" t="n">
        <x:v>0.8</x:v>
      </x:c>
      <x:c r="I56" s="13" t="n">
        <x:v>5000</x:v>
      </x:c>
    </x:row>
    <x:row r="57">
      <x:c r="A57" s="13" t="str">
        <x:v>PRJ056</x:v>
      </x:c>
      <x:c r="B57" s="13" t="str">
        <x:v>Order Exception Review</x:v>
      </x:c>
      <x:c r="C57" s="13" t="str">
        <x:v>E038</x:v>
      </x:c>
      <x:c r="D57" s="36" t="n">
        <x:v>46080</x:v>
      </x:c>
      <x:c r="E57" s="36" t="n">
        <x:v>46155</x:v>
      </x:c>
      <x:c r="F57" s="13" t="str">
        <x:v>Not Started</x:v>
      </x:c>
      <x:c r="G57" s="13" t="str">
        <x:v>High</x:v>
      </x:c>
      <x:c r="H57" s="38" t="n">
        <x:v>0</x:v>
      </x:c>
      <x:c r="I57" s="13" t="n">
        <x:v>26500</x:v>
      </x:c>
    </x:row>
    <x:row r="58">
      <x:c r="A58" s="13" t="str">
        <x:v>PRJ057</x:v>
      </x:c>
      <x:c r="B58" s="13" t="str">
        <x:v>Onboarding Survey</x:v>
      </x:c>
      <x:c r="C58" s="13" t="str">
        <x:v>E009</x:v>
      </x:c>
      <x:c r="D58" s="36" t="n">
        <x:v>46167</x:v>
      </x:c>
      <x:c r="E58" s="36" t="n">
        <x:v>46227</x:v>
      </x:c>
      <x:c r="F58" s="13" t="str">
        <x:v>Complete</x:v>
      </x:c>
      <x:c r="G58" s="13" t="str">
        <x:v>Medium</x:v>
      </x:c>
      <x:c r="H58" s="38" t="n">
        <x:v>1</x:v>
      </x:c>
      <x:c r="I58" s="13" t="n">
        <x:v>26000</x:v>
      </x:c>
    </x:row>
    <x:row r="59">
      <x:c r="A59" s="13" t="str">
        <x:v>PRJ058</x:v>
      </x:c>
      <x:c r="B59" s="13" t="str">
        <x:v>Partner Directory Refresh</x:v>
      </x:c>
      <x:c r="C59" s="13" t="str">
        <x:v>E013</x:v>
      </x:c>
      <x:c r="D59" s="36" t="n">
        <x:v>46047</x:v>
      </x:c>
      <x:c r="E59" s="36" t="n">
        <x:v>46107</x:v>
      </x:c>
      <x:c r="F59" s="13" t="str">
        <x:v>In Progress</x:v>
      </x:c>
      <x:c r="G59" s="13" t="str">
        <x:v>Medium</x:v>
      </x:c>
      <x:c r="H59" s="38" t="n">
        <x:v>0.2</x:v>
      </x:c>
      <x:c r="I59" s="13" t="n">
        <x:v>16500</x:v>
      </x:c>
    </x:row>
    <x:row r="60">
      <x:c r="A60" s="13" t="str">
        <x:v>PRJ059</x:v>
      </x:c>
      <x:c r="B60" s="13" t="str">
        <x:v>Inventory Reorder Review</x:v>
      </x:c>
      <x:c r="C60" s="13" t="str">
        <x:v>E025</x:v>
      </x:c>
      <x:c r="D60" s="36" t="n">
        <x:v>46204</x:v>
      </x:c>
      <x:c r="E60" s="36" t="n">
        <x:v>46294</x:v>
      </x:c>
      <x:c r="F60" s="13" t="str">
        <x:v>Complete</x:v>
      </x:c>
      <x:c r="G60" s="13" t="str">
        <x:v>Low</x:v>
      </x:c>
      <x:c r="H60" s="38" t="n">
        <x:v>1</x:v>
      </x:c>
      <x:c r="I60" s="13" t="n">
        <x:v>17000</x:v>
      </x:c>
    </x:row>
    <x:row r="61">
      <x:c r="A61" s="13" t="str">
        <x:v>PRJ060</x:v>
      </x:c>
      <x:c r="B61" s="13" t="str">
        <x:v>Year-End Planning Pack</x:v>
      </x:c>
      <x:c r="C61" s="13" t="str">
        <x:v>E007</x:v>
      </x:c>
      <x:c r="D61" s="36" t="n">
        <x:v>46068</x:v>
      </x:c>
      <x:c r="E61" s="36" t="n">
        <x:v>46143</x:v>
      </x:c>
      <x:c r="F61" s="13" t="str">
        <x:v>In Progress</x:v>
      </x:c>
      <x:c r="G61" s="13" t="str">
        <x:v>High</x:v>
      </x:c>
      <x:c r="H61" s="38" t="n">
        <x:v>0.65</x:v>
      </x:c>
      <x:c r="I61" s="13" t="n">
        <x:v>29000</x:v>
      </x:c>
    </x:row>
  </x:sheetData>
  <x:conditionalFormatting sqref="A2:I61">
    <x:cfRule type="expression" dxfId="2" priority="1">
      <x:formula>AND($E2&lt;TODAY(),$F2&lt;&gt;"Complete")</x:formula>
    </x:cfRule>
    <x:cfRule type="expression" dxfId="3" priority="2">
      <x:formula>$F2="Blocked"</x:formula>
    </x:cfRule>
    <x:cfRule type="expression" dxfId="4" priority="3">
      <x:formula>$G2="High"</x:formula>
    </x:cfRule>
  </x:conditionalFormatting>
  <x:conditionalFormatting sqref="H2:H61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{7728C8E7-2847-3343-AAD7-99D427888629}</x14:id>
        </x:ext>
      </x:extLst>
    </x:cfRule>
  </x:conditionalFormatting>
  <x:dataValidations count="2">
    <x:dataValidation type="list" sqref="F2:F61">
      <x:formula1>"Not Started,In Progress,Blocked,Complete"</x:formula1>
    </x:dataValidation>
    <x:dataValidation type="list" sqref="G2:G61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c773cc22714b7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728C8E7-2847-3343-AAD7-99D427888629}">
            <x14:dataBar gradient="1">
              <x14:cfvo type="min"/>
              <x14:cfvo type="max"/>
              <x14:fillColor rgb="FF5B9BD5"/>
            </x14:dataBar>
          </x14:cfRule>
          <xm:sqref>H2:H61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4" t="str">
        <x:v>ExpenseID</x:v>
      </x:c>
      <x:c r="B1" s="34" t="str">
        <x:v>Date</x:v>
      </x:c>
      <x:c r="C1" s="34" t="str">
        <x:v>Department</x:v>
      </x:c>
      <x:c r="D1" s="34" t="str">
        <x:v>Category</x:v>
      </x:c>
      <x:c r="E1" s="34" t="str">
        <x:v>Vendor</x:v>
      </x:c>
      <x:c r="F1" s="34" t="str">
        <x:v>Amount</x:v>
      </x:c>
      <x:c r="G1" s="34" t="str">
        <x:v>Approved</x:v>
      </x:c>
      <x:c r="H1" s="34" t="str">
        <x:v>PaymentMethod</x:v>
      </x:c>
    </x:row>
    <x:row r="2">
      <x:c r="A2" s="13" t="str">
        <x:v>X0001</x:v>
      </x:c>
      <x:c r="B2" s="36" t="n">
        <x:v>46183</x:v>
      </x:c>
      <x:c r="C2" s="13" t="str">
        <x:v>Sales</x:v>
      </x:c>
      <x:c r="D2" s="13" t="str">
        <x:v>Travel</x:v>
      </x:c>
      <x:c r="E2" s="13" t="str">
        <x:v>VIA Rail</x:v>
      </x:c>
      <x:c r="F2" s="40" t="n">
        <x:v>1168.92</x:v>
      </x:c>
      <x:c r="G2" s="13" t="str">
        <x:v>No</x:v>
      </x:c>
      <x:c r="H2" s="13" t="str">
        <x:v>EFT</x:v>
      </x:c>
    </x:row>
    <x:row r="3">
      <x:c r="A3" s="13" t="str">
        <x:v>X0002</x:v>
      </x:c>
      <x:c r="B3" s="36" t="n">
        <x:v>46058</x:v>
      </x:c>
      <x:c r="C3" s="13" t="str">
        <x:v>Sales</x:v>
      </x:c>
      <x:c r="D3" s="13" t="str">
        <x:v>Software</x:v>
      </x:c>
      <x:c r="E3" s="13" t="str">
        <x:v>Atlassian</x:v>
      </x:c>
      <x:c r="F3" s="40" t="n">
        <x:v>1584.93</x:v>
      </x:c>
      <x:c r="G3" s="13" t="str">
        <x:v>Yes</x:v>
      </x:c>
      <x:c r="H3" s="13" t="str">
        <x:v>EFT</x:v>
      </x:c>
    </x:row>
    <x:row r="4">
      <x:c r="A4" s="13" t="str">
        <x:v>X0003</x:v>
      </x:c>
      <x:c r="B4" s="36" t="n">
        <x:v>46147</x:v>
      </x:c>
      <x:c r="C4" s="13" t="str">
        <x:v>Finance</x:v>
      </x:c>
      <x:c r="D4" s="13" t="str">
        <x:v>Training</x:v>
      </x:c>
      <x:c r="E4" s="13" t="str">
        <x:v>Coursera for Business</x:v>
      </x:c>
      <x:c r="F4" s="40" t="n">
        <x:v>1516</x:v>
      </x:c>
      <x:c r="G4" s="13" t="str">
        <x:v>Yes</x:v>
      </x:c>
      <x:c r="H4" s="13" t="str">
        <x:v>EFT</x:v>
      </x:c>
    </x:row>
    <x:row r="5">
      <x:c r="A5" s="13" t="str">
        <x:v>X0004</x:v>
      </x:c>
      <x:c r="B5" s="36" t="n">
        <x:v>46171</x:v>
      </x:c>
      <x:c r="C5" s="13" t="str">
        <x:v>Marketing</x:v>
      </x:c>
      <x:c r="D5" s="13" t="str">
        <x:v>Travel</x:v>
      </x:c>
      <x:c r="E5" s="13" t="str">
        <x:v>Enterprise Rent-A-Car</x:v>
      </x:c>
      <x:c r="F5" s="40" t="n">
        <x:v>280.87</x:v>
      </x:c>
      <x:c r="G5" s="13" t="str">
        <x:v>Yes</x:v>
      </x:c>
      <x:c r="H5" s="13" t="str">
        <x:v>EFT</x:v>
      </x:c>
    </x:row>
    <x:row r="6">
      <x:c r="A6" s="13" t="str">
        <x:v>X0005</x:v>
      </x:c>
      <x:c r="B6" s="36" t="n">
        <x:v>46224</x:v>
      </x:c>
      <x:c r="C6" s="13" t="str">
        <x:v>Customer Service</x:v>
      </x:c>
      <x:c r="D6" s="13" t="str">
        <x:v>Training</x:v>
      </x:c>
      <x:c r="E6" s="13" t="str">
        <x:v>Skillsoft</x:v>
      </x:c>
      <x:c r="F6" s="40" t="n">
        <x:v>133.84</x:v>
      </x:c>
      <x:c r="G6" s="13" t="str">
        <x:v>Yes</x:v>
      </x:c>
      <x:c r="H6" s="13" t="str">
        <x:v>Cheque</x:v>
      </x:c>
    </x:row>
    <x:row r="7">
      <x:c r="A7" s="13" t="str">
        <x:v>X0006</x:v>
      </x:c>
      <x:c r="B7" s="36" t="n">
        <x:v>46040</x:v>
      </x:c>
      <x:c r="C7" s="13" t="str">
        <x:v>Marketing</x:v>
      </x:c>
      <x:c r="D7" s="13" t="str">
        <x:v>Supplies</x:v>
      </x:c>
      <x:c r="E7" s="13" t="str">
        <x:v>Grand &amp; Toy</x:v>
      </x:c>
      <x:c r="F7" s="40" t="n">
        <x:v>1609.01</x:v>
      </x:c>
      <x:c r="G7" s="13" t="str">
        <x:v>Yes</x:v>
      </x:c>
      <x:c r="H7" s="13" t="str">
        <x:v>EFT</x:v>
      </x:c>
    </x:row>
    <x:row r="8">
      <x:c r="A8" s="13" t="str">
        <x:v>X0007</x:v>
      </x:c>
      <x:c r="B8" s="36" t="n">
        <x:v>46079</x:v>
      </x:c>
      <x:c r="C8" s="13" t="str">
        <x:v>Marketing</x:v>
      </x:c>
      <x:c r="D8" s="13" t="str">
        <x:v>Training</x:v>
      </x:c>
      <x:c r="E8" s="13" t="str">
        <x:v>Coursera for Business</x:v>
      </x:c>
      <x:c r="F8" s="40" t="n">
        <x:v>1999.84</x:v>
      </x:c>
      <x:c r="G8" s="13" t="str">
        <x:v>Yes</x:v>
      </x:c>
      <x:c r="H8" s="13" t="str">
        <x:v>EFT</x:v>
      </x:c>
    </x:row>
    <x:row r="9">
      <x:c r="A9" s="13" t="str">
        <x:v>X0008</x:v>
      </x:c>
      <x:c r="B9" s="36" t="n">
        <x:v>46260</x:v>
      </x:c>
      <x:c r="C9" s="13" t="str">
        <x:v>Sales</x:v>
      </x:c>
      <x:c r="D9" s="13" t="str">
        <x:v>Meals</x:v>
      </x:c>
      <x:c r="E9" s="13" t="str">
        <x:v>Maple Bistro</x:v>
      </x:c>
      <x:c r="F9" s="40" t="n">
        <x:v>229.4</x:v>
      </x:c>
      <x:c r="G9" s="13" t="str">
        <x:v>Yes</x:v>
      </x:c>
      <x:c r="H9" s="13" t="str">
        <x:v>Cheque</x:v>
      </x:c>
    </x:row>
    <x:row r="10">
      <x:c r="A10" s="13" t="str">
        <x:v>X0009</x:v>
      </x:c>
      <x:c r="B10" s="36" t="n">
        <x:v>46144</x:v>
      </x:c>
      <x:c r="C10" s="13" t="str">
        <x:v>Operations</x:v>
      </x:c>
      <x:c r="D10" s="13" t="str">
        <x:v>Travel</x:v>
      </x:c>
      <x:c r="E10" s="13" t="str">
        <x:v>VIA Rail</x:v>
      </x:c>
      <x:c r="F10" s="40" t="n">
        <x:v>241.42</x:v>
      </x:c>
      <x:c r="G10" s="13" t="str">
        <x:v>Yes</x:v>
      </x:c>
      <x:c r="H10" s="13" t="str">
        <x:v>EFT</x:v>
      </x:c>
    </x:row>
    <x:row r="11">
      <x:c r="A11" s="13" t="str">
        <x:v>X0010</x:v>
      </x:c>
      <x:c r="B11" s="36" t="n">
        <x:v>46058</x:v>
      </x:c>
      <x:c r="C11" s="13" t="str">
        <x:v>Operations</x:v>
      </x:c>
      <x:c r="D11" s="13" t="str">
        <x:v>Shipping</x:v>
      </x:c>
      <x:c r="E11" s="13" t="str">
        <x:v>Purolator</x:v>
      </x:c>
      <x:c r="F11" s="40" t="n">
        <x:v>953.2</x:v>
      </x:c>
      <x:c r="G11" s="13" t="str">
        <x:v>Yes</x:v>
      </x:c>
      <x:c r="H11" s="13" t="str">
        <x:v>Card</x:v>
      </x:c>
    </x:row>
    <x:row r="12">
      <x:c r="A12" s="13" t="str">
        <x:v>X0011</x:v>
      </x:c>
      <x:c r="B12" s="36" t="n">
        <x:v>46222</x:v>
      </x:c>
      <x:c r="C12" s="13" t="str">
        <x:v>Operations</x:v>
      </x:c>
      <x:c r="D12" s="13" t="str">
        <x:v>Supplies</x:v>
      </x:c>
      <x:c r="E12" s="13" t="str">
        <x:v>Northstar Wholesale</x:v>
      </x:c>
      <x:c r="F12" s="40" t="n">
        <x:v>296.91</x:v>
      </x:c>
      <x:c r="G12" s="13" t="str">
        <x:v>Yes</x:v>
      </x:c>
      <x:c r="H12" s="13" t="str">
        <x:v>EFT</x:v>
      </x:c>
    </x:row>
    <x:row r="13">
      <x:c r="A13" s="13" t="str">
        <x:v>X0012</x:v>
      </x:c>
      <x:c r="B13" s="36" t="n">
        <x:v>46078</x:v>
      </x:c>
      <x:c r="C13" s="13" t="str">
        <x:v>Operations</x:v>
      </x:c>
      <x:c r="D13" s="13" t="str">
        <x:v>Meals</x:v>
      </x:c>
      <x:c r="E13" s="13" t="str">
        <x:v>Maple Bistro</x:v>
      </x:c>
      <x:c r="F13" s="40" t="n">
        <x:v>1048.29</x:v>
      </x:c>
      <x:c r="G13" s="13" t="str">
        <x:v>Yes</x:v>
      </x:c>
      <x:c r="H13" s="13" t="str">
        <x:v>EFT</x:v>
      </x:c>
    </x:row>
    <x:row r="14">
      <x:c r="A14" s="13" t="str">
        <x:v>X0013</x:v>
      </x:c>
      <x:c r="B14" s="36" t="n">
        <x:v>46154</x:v>
      </x:c>
      <x:c r="C14" s="13" t="str">
        <x:v>Sales</x:v>
      </x:c>
      <x:c r="D14" s="13" t="str">
        <x:v>Software</x:v>
      </x:c>
      <x:c r="E14" s="13" t="str">
        <x:v>Atlassian</x:v>
      </x:c>
      <x:c r="F14" s="40" t="n">
        <x:v>782.97</x:v>
      </x:c>
      <x:c r="G14" s="13" t="str">
        <x:v>Yes</x:v>
      </x:c>
      <x:c r="H14" s="13" t="str">
        <x:v>EFT</x:v>
      </x:c>
    </x:row>
    <x:row r="15">
      <x:c r="A15" s="13" t="str">
        <x:v>X0014</x:v>
      </x:c>
      <x:c r="B15" s="36" t="n">
        <x:v>46166</x:v>
      </x:c>
      <x:c r="C15" s="13" t="str">
        <x:v>Marketing</x:v>
      </x:c>
      <x:c r="D15" s="13" t="str">
        <x:v>Training</x:v>
      </x:c>
      <x:c r="E15" s="13" t="str">
        <x:v>Coursera for Business</x:v>
      </x:c>
      <x:c r="F15" s="40" t="n">
        <x:v>1677.09</x:v>
      </x:c>
      <x:c r="G15" s="13" t="str">
        <x:v>Yes</x:v>
      </x:c>
      <x:c r="H15" s="13" t="str">
        <x:v>EFT</x:v>
      </x:c>
    </x:row>
    <x:row r="16">
      <x:c r="A16" s="13" t="str">
        <x:v>X0015</x:v>
      </x:c>
      <x:c r="B16" s="36" t="n">
        <x:v>46249</x:v>
      </x:c>
      <x:c r="C16" s="13" t="str">
        <x:v>Finance</x:v>
      </x:c>
      <x:c r="D16" s="13" t="str">
        <x:v>Training</x:v>
      </x:c>
      <x:c r="E16" s="13" t="str">
        <x:v>Skillsoft</x:v>
      </x:c>
      <x:c r="F16" s="40" t="n">
        <x:v>2054.35</x:v>
      </x:c>
      <x:c r="G16" s="13" t="str">
        <x:v>Yes</x:v>
      </x:c>
      <x:c r="H16" s="13" t="str">
        <x:v>Card</x:v>
      </x:c>
    </x:row>
    <x:row r="17">
      <x:c r="A17" s="13" t="str">
        <x:v>X0016</x:v>
      </x:c>
      <x:c r="B17" s="36" t="n">
        <x:v>46056</x:v>
      </x:c>
      <x:c r="C17" s="13" t="str">
        <x:v>Customer Service</x:v>
      </x:c>
      <x:c r="D17" s="13" t="str">
        <x:v>Travel</x:v>
      </x:c>
      <x:c r="E17" s="13" t="str">
        <x:v>Air Canada</x:v>
      </x:c>
      <x:c r="F17" s="40" t="n">
        <x:v>719.65</x:v>
      </x:c>
      <x:c r="G17" s="13" t="str">
        <x:v>Yes</x:v>
      </x:c>
      <x:c r="H17" s="13" t="str">
        <x:v>Card</x:v>
      </x:c>
    </x:row>
    <x:row r="18">
      <x:c r="A18" s="13" t="str">
        <x:v>X0017</x:v>
      </x:c>
      <x:c r="B18" s="36" t="n">
        <x:v>46234</x:v>
      </x:c>
      <x:c r="C18" s="13" t="str">
        <x:v>Sales</x:v>
      </x:c>
      <x:c r="D18" s="13" t="str">
        <x:v>Shipping</x:v>
      </x:c>
      <x:c r="E18" s="13" t="str">
        <x:v>Canada Post</x:v>
      </x:c>
      <x:c r="F18" s="40" t="n">
        <x:v>1465.52</x:v>
      </x:c>
      <x:c r="G18" s="13" t="str">
        <x:v>Yes</x:v>
      </x:c>
      <x:c r="H18" s="13" t="str">
        <x:v>Card</x:v>
      </x:c>
    </x:row>
    <x:row r="19">
      <x:c r="A19" s="13" t="str">
        <x:v>X0018</x:v>
      </x:c>
      <x:c r="B19" s="36" t="n">
        <x:v>46050</x:v>
      </x:c>
      <x:c r="C19" s="13" t="str">
        <x:v>Sales</x:v>
      </x:c>
      <x:c r="D19" s="13" t="str">
        <x:v>Supplies</x:v>
      </x:c>
      <x:c r="E19" s="13" t="str">
        <x:v>Office Central</x:v>
      </x:c>
      <x:c r="F19" s="40" t="n">
        <x:v>423.92</x:v>
      </x:c>
      <x:c r="G19" s="13" t="str">
        <x:v>Yes</x:v>
      </x:c>
      <x:c r="H19" s="13" t="str">
        <x:v>Cheque</x:v>
      </x:c>
    </x:row>
    <x:row r="20">
      <x:c r="A20" s="13" t="str">
        <x:v>X0019</x:v>
      </x:c>
      <x:c r="B20" s="36" t="n">
        <x:v>46150</x:v>
      </x:c>
      <x:c r="C20" s="13" t="str">
        <x:v>Customer Service</x:v>
      </x:c>
      <x:c r="D20" s="13" t="str">
        <x:v>Meals</x:v>
      </x:c>
      <x:c r="E20" s="13" t="str">
        <x:v>Maple Bistro</x:v>
      </x:c>
      <x:c r="F20" s="40" t="n">
        <x:v>2039.22</x:v>
      </x:c>
      <x:c r="G20" s="13" t="str">
        <x:v>No</x:v>
      </x:c>
      <x:c r="H20" s="13" t="str">
        <x:v>EFT</x:v>
      </x:c>
    </x:row>
    <x:row r="21">
      <x:c r="A21" s="13" t="str">
        <x:v>X0020</x:v>
      </x:c>
      <x:c r="B21" s="36" t="n">
        <x:v>46092</x:v>
      </x:c>
      <x:c r="C21" s="13" t="str">
        <x:v>Finance</x:v>
      </x:c>
      <x:c r="D21" s="13" t="str">
        <x:v>Training</x:v>
      </x:c>
      <x:c r="E21" s="13" t="str">
        <x:v>LinkedIn Learning</x:v>
      </x:c>
      <x:c r="F21" s="40" t="n">
        <x:v>94.44</x:v>
      </x:c>
      <x:c r="G21" s="13" t="str">
        <x:v>Yes</x:v>
      </x:c>
      <x:c r="H21" s="13" t="str">
        <x:v>Cheque</x:v>
      </x:c>
    </x:row>
    <x:row r="22">
      <x:c r="A22" s="13" t="str">
        <x:v>X0021</x:v>
      </x:c>
      <x:c r="B22" s="36" t="n">
        <x:v>46152</x:v>
      </x:c>
      <x:c r="C22" s="13" t="str">
        <x:v>Customer Service</x:v>
      </x:c>
      <x:c r="D22" s="13" t="str">
        <x:v>Travel</x:v>
      </x:c>
      <x:c r="E22" s="13" t="str">
        <x:v>VIA Rail</x:v>
      </x:c>
      <x:c r="F22" s="40" t="n">
        <x:v>637.34</x:v>
      </x:c>
      <x:c r="G22" s="13" t="str">
        <x:v>Yes</x:v>
      </x:c>
      <x:c r="H22" s="13" t="str">
        <x:v>Card</x:v>
      </x:c>
    </x:row>
    <x:row r="23">
      <x:c r="A23" s="13" t="str">
        <x:v>X0022</x:v>
      </x:c>
      <x:c r="B23" s="36" t="n">
        <x:v>46209</x:v>
      </x:c>
      <x:c r="C23" s="13" t="str">
        <x:v>Finance</x:v>
      </x:c>
      <x:c r="D23" s="13" t="str">
        <x:v>Travel</x:v>
      </x:c>
      <x:c r="E23" s="13" t="str">
        <x:v>VIA Rail</x:v>
      </x:c>
      <x:c r="F23" s="40" t="n">
        <x:v>274.54</x:v>
      </x:c>
      <x:c r="G23" s="13" t="str">
        <x:v>Yes</x:v>
      </x:c>
      <x:c r="H23" s="13" t="str">
        <x:v>EFT</x:v>
      </x:c>
    </x:row>
    <x:row r="24">
      <x:c r="A24" s="13" t="str">
        <x:v>X0023</x:v>
      </x:c>
      <x:c r="B24" s="36" t="n">
        <x:v>46193</x:v>
      </x:c>
      <x:c r="C24" s="13" t="str">
        <x:v>Operations</x:v>
      </x:c>
      <x:c r="D24" s="13" t="str">
        <x:v>Travel</x:v>
      </x:c>
      <x:c r="E24" s="13" t="str">
        <x:v>Air Canada</x:v>
      </x:c>
      <x:c r="F24" s="40" t="n">
        <x:v>1888.56</x:v>
      </x:c>
      <x:c r="G24" s="13" t="str">
        <x:v>Yes</x:v>
      </x:c>
      <x:c r="H24" s="13" t="str">
        <x:v>EFT</x:v>
      </x:c>
    </x:row>
    <x:row r="25">
      <x:c r="A25" s="13" t="str">
        <x:v>X0024</x:v>
      </x:c>
      <x:c r="B25" s="36" t="n">
        <x:v>46168</x:v>
      </x:c>
      <x:c r="C25" s="13" t="str">
        <x:v>Marketing</x:v>
      </x:c>
      <x:c r="D25" s="13" t="str">
        <x:v>Supplies</x:v>
      </x:c>
      <x:c r="E25" s="13" t="str">
        <x:v>Northstar Wholesale</x:v>
      </x:c>
      <x:c r="F25" s="40" t="n">
        <x:v>1148.23</x:v>
      </x:c>
      <x:c r="G25" s="13" t="str">
        <x:v>Yes</x:v>
      </x:c>
      <x:c r="H25" s="13" t="str">
        <x:v>Card</x:v>
      </x:c>
    </x:row>
    <x:row r="26">
      <x:c r="A26" s="13" t="str">
        <x:v>X0025</x:v>
      </x:c>
      <x:c r="B26" s="36" t="n">
        <x:v>46047</x:v>
      </x:c>
      <x:c r="C26" s="13" t="str">
        <x:v>Operations</x:v>
      </x:c>
      <x:c r="D26" s="13" t="str">
        <x:v>Software</x:v>
      </x:c>
      <x:c r="E26" s="13" t="str">
        <x:v>Microsoft</x:v>
      </x:c>
      <x:c r="F26" s="40" t="n">
        <x:v>483.3</x:v>
      </x:c>
      <x:c r="G26" s="13" t="str">
        <x:v>Yes</x:v>
      </x:c>
      <x:c r="H26" s="13" t="str">
        <x:v>Cheque</x:v>
      </x:c>
    </x:row>
    <x:row r="27">
      <x:c r="A27" s="13" t="str">
        <x:v>X0026</x:v>
      </x:c>
      <x:c r="B27" s="36" t="n">
        <x:v>46059</x:v>
      </x:c>
      <x:c r="C27" s="13" t="str">
        <x:v>Operations</x:v>
      </x:c>
      <x:c r="D27" s="13" t="str">
        <x:v>Shipping</x:v>
      </x:c>
      <x:c r="E27" s="13" t="str">
        <x:v>Canada Post</x:v>
      </x:c>
      <x:c r="F27" s="40" t="n">
        <x:v>1925.77</x:v>
      </x:c>
      <x:c r="G27" s="13" t="str">
        <x:v>Yes</x:v>
      </x:c>
      <x:c r="H27" s="13" t="str">
        <x:v>Cheque</x:v>
      </x:c>
    </x:row>
    <x:row r="28">
      <x:c r="A28" s="13" t="str">
        <x:v>X0027</x:v>
      </x:c>
      <x:c r="B28" s="36" t="n">
        <x:v>46159</x:v>
      </x:c>
      <x:c r="C28" s="13" t="str">
        <x:v>Operations</x:v>
      </x:c>
      <x:c r="D28" s="13" t="str">
        <x:v>Software</x:v>
      </x:c>
      <x:c r="E28" s="13" t="str">
        <x:v>Atlassian</x:v>
      </x:c>
      <x:c r="F28" s="40" t="n">
        <x:v>1669.41</x:v>
      </x:c>
      <x:c r="G28" s="13" t="str">
        <x:v>Yes</x:v>
      </x:c>
      <x:c r="H28" s="13" t="str">
        <x:v>Cheque</x:v>
      </x:c>
    </x:row>
    <x:row r="29">
      <x:c r="A29" s="13" t="str">
        <x:v>X0028</x:v>
      </x:c>
      <x:c r="B29" s="36" t="n">
        <x:v>46074</x:v>
      </x:c>
      <x:c r="C29" s="13" t="str">
        <x:v>Sales</x:v>
      </x:c>
      <x:c r="D29" s="13" t="str">
        <x:v>Supplies</x:v>
      </x:c>
      <x:c r="E29" s="13" t="str">
        <x:v>Grand &amp; Toy</x:v>
      </x:c>
      <x:c r="F29" s="40" t="n">
        <x:v>590.62</x:v>
      </x:c>
      <x:c r="G29" s="13" t="str">
        <x:v>Yes</x:v>
      </x:c>
      <x:c r="H29" s="13" t="str">
        <x:v>Card</x:v>
      </x:c>
    </x:row>
    <x:row r="30">
      <x:c r="A30" s="13" t="str">
        <x:v>X0029</x:v>
      </x:c>
      <x:c r="B30" s="36" t="n">
        <x:v>46083</x:v>
      </x:c>
      <x:c r="C30" s="13" t="str">
        <x:v>Operations</x:v>
      </x:c>
      <x:c r="D30" s="13" t="str">
        <x:v>Travel</x:v>
      </x:c>
      <x:c r="E30" s="13" t="str">
        <x:v>Marriott</x:v>
      </x:c>
      <x:c r="F30" s="40" t="n">
        <x:v>1837.62</x:v>
      </x:c>
      <x:c r="G30" s="13" t="str">
        <x:v>No</x:v>
      </x:c>
      <x:c r="H30" s="13" t="str">
        <x:v>Cheque</x:v>
      </x:c>
    </x:row>
    <x:row r="31">
      <x:c r="A31" s="13" t="str">
        <x:v>X0030</x:v>
      </x:c>
      <x:c r="B31" s="36" t="n">
        <x:v>46229</x:v>
      </x:c>
      <x:c r="C31" s="13" t="str">
        <x:v>Operations</x:v>
      </x:c>
      <x:c r="D31" s="13" t="str">
        <x:v>Meals</x:v>
      </x:c>
      <x:c r="E31" s="13" t="str">
        <x:v>Harbour Cafe</x:v>
      </x:c>
      <x:c r="F31" s="40" t="n">
        <x:v>1900.18</x:v>
      </x:c>
      <x:c r="G31" s="13" t="str">
        <x:v>Yes</x:v>
      </x:c>
      <x:c r="H31" s="13" t="str">
        <x:v>Cheque</x:v>
      </x:c>
    </x:row>
    <x:row r="32">
      <x:c r="A32" s="13" t="str">
        <x:v>X0031</x:v>
      </x:c>
      <x:c r="B32" s="36" t="n">
        <x:v>46178</x:v>
      </x:c>
      <x:c r="C32" s="13" t="str">
        <x:v>Sales</x:v>
      </x:c>
      <x:c r="D32" s="13" t="str">
        <x:v>Training</x:v>
      </x:c>
      <x:c r="E32" s="13" t="str">
        <x:v>Local Training Co.</x:v>
      </x:c>
      <x:c r="F32" s="40" t="n">
        <x:v>1587.14</x:v>
      </x:c>
      <x:c r="G32" s="13" t="str">
        <x:v>Yes</x:v>
      </x:c>
      <x:c r="H32" s="13" t="str">
        <x:v>Card</x:v>
      </x:c>
    </x:row>
    <x:row r="33">
      <x:c r="A33" s="13" t="str">
        <x:v>X0032</x:v>
      </x:c>
      <x:c r="B33" s="36" t="n">
        <x:v>46236</x:v>
      </x:c>
      <x:c r="C33" s="13" t="str">
        <x:v>Operations</x:v>
      </x:c>
      <x:c r="D33" s="13" t="str">
        <x:v>Meals</x:v>
      </x:c>
      <x:c r="E33" s="13" t="str">
        <x:v>Harbour Cafe</x:v>
      </x:c>
      <x:c r="F33" s="40" t="n">
        <x:v>429.09</x:v>
      </x:c>
      <x:c r="G33" s="13" t="str">
        <x:v>Yes</x:v>
      </x:c>
      <x:c r="H33" s="13" t="str">
        <x:v>Card</x:v>
      </x:c>
    </x:row>
    <x:row r="34">
      <x:c r="A34" s="13" t="str">
        <x:v>X0033</x:v>
      </x:c>
      <x:c r="B34" s="36" t="n">
        <x:v>46185</x:v>
      </x:c>
      <x:c r="C34" s="13" t="str">
        <x:v>Marketing</x:v>
      </x:c>
      <x:c r="D34" s="13" t="str">
        <x:v>Meals</x:v>
      </x:c>
      <x:c r="E34" s="13" t="str">
        <x:v>Maple Bistro</x:v>
      </x:c>
      <x:c r="F34" s="40" t="n">
        <x:v>1266.22</x:v>
      </x:c>
      <x:c r="G34" s="13" t="str">
        <x:v>Yes</x:v>
      </x:c>
      <x:c r="H34" s="13" t="str">
        <x:v>Card</x:v>
      </x:c>
    </x:row>
    <x:row r="35">
      <x:c r="A35" s="13" t="str">
        <x:v>X0034</x:v>
      </x:c>
      <x:c r="B35" s="36" t="n">
        <x:v>46094</x:v>
      </x:c>
      <x:c r="C35" s="13" t="str">
        <x:v>Operations</x:v>
      </x:c>
      <x:c r="D35" s="13" t="str">
        <x:v>Travel</x:v>
      </x:c>
      <x:c r="E35" s="13" t="str">
        <x:v>Marriott</x:v>
      </x:c>
      <x:c r="F35" s="40" t="n">
        <x:v>1513.88</x:v>
      </x:c>
      <x:c r="G35" s="13" t="str">
        <x:v>Yes</x:v>
      </x:c>
      <x:c r="H35" s="13" t="str">
        <x:v>Card</x:v>
      </x:c>
    </x:row>
    <x:row r="36">
      <x:c r="A36" s="13" t="str">
        <x:v>X0035</x:v>
      </x:c>
      <x:c r="B36" s="36" t="n">
        <x:v>46145</x:v>
      </x:c>
      <x:c r="C36" s="13" t="str">
        <x:v>Customer Service</x:v>
      </x:c>
      <x:c r="D36" s="13" t="str">
        <x:v>Meals</x:v>
      </x:c>
      <x:c r="E36" s="13" t="str">
        <x:v>Union Kitchen</x:v>
      </x:c>
      <x:c r="F36" s="40" t="n">
        <x:v>927.08</x:v>
      </x:c>
      <x:c r="G36" s="13" t="str">
        <x:v>Yes</x:v>
      </x:c>
      <x:c r="H36" s="13" t="str">
        <x:v>Card</x:v>
      </x:c>
    </x:row>
    <x:row r="37">
      <x:c r="A37" s="13" t="str">
        <x:v>X0036</x:v>
      </x:c>
      <x:c r="B37" s="36" t="n">
        <x:v>46169</x:v>
      </x:c>
      <x:c r="C37" s="13" t="str">
        <x:v>Finance</x:v>
      </x:c>
      <x:c r="D37" s="13" t="str">
        <x:v>Training</x:v>
      </x:c>
      <x:c r="E37" s="13" t="str">
        <x:v>Skillsoft</x:v>
      </x:c>
      <x:c r="F37" s="40" t="n">
        <x:v>298.89</x:v>
      </x:c>
      <x:c r="G37" s="13" t="str">
        <x:v>Yes</x:v>
      </x:c>
      <x:c r="H37" s="13" t="str">
        <x:v>EFT</x:v>
      </x:c>
    </x:row>
    <x:row r="38">
      <x:c r="A38" s="13" t="str">
        <x:v>X0037</x:v>
      </x:c>
      <x:c r="B38" s="36" t="n">
        <x:v>46084</x:v>
      </x:c>
      <x:c r="C38" s="13" t="str">
        <x:v>Marketing</x:v>
      </x:c>
      <x:c r="D38" s="13" t="str">
        <x:v>Supplies</x:v>
      </x:c>
      <x:c r="E38" s="13" t="str">
        <x:v>Grand &amp; Toy</x:v>
      </x:c>
      <x:c r="F38" s="40" t="n">
        <x:v>1649.58</x:v>
      </x:c>
      <x:c r="G38" s="13" t="str">
        <x:v>Yes</x:v>
      </x:c>
      <x:c r="H38" s="13" t="str">
        <x:v>Cheque</x:v>
      </x:c>
    </x:row>
    <x:row r="39">
      <x:c r="A39" s="13" t="str">
        <x:v>X0038</x:v>
      </x:c>
      <x:c r="B39" s="36" t="n">
        <x:v>46108</x:v>
      </x:c>
      <x:c r="C39" s="13" t="str">
        <x:v>Operations</x:v>
      </x:c>
      <x:c r="D39" s="13" t="str">
        <x:v>Travel</x:v>
      </x:c>
      <x:c r="E39" s="13" t="str">
        <x:v>Air Canada</x:v>
      </x:c>
      <x:c r="F39" s="40" t="n">
        <x:v>423.92</x:v>
      </x:c>
      <x:c r="G39" s="13" t="str">
        <x:v>Yes</x:v>
      </x:c>
      <x:c r="H39" s="13" t="str">
        <x:v>Card</x:v>
      </x:c>
    </x:row>
    <x:row r="40">
      <x:c r="A40" s="13" t="str">
        <x:v>X0039</x:v>
      </x:c>
      <x:c r="B40" s="36" t="n">
        <x:v>46235</x:v>
      </x:c>
      <x:c r="C40" s="13" t="str">
        <x:v>Customer Service</x:v>
      </x:c>
      <x:c r="D40" s="13" t="str">
        <x:v>Supplies</x:v>
      </x:c>
      <x:c r="E40" s="13" t="str">
        <x:v>Grand &amp; Toy</x:v>
      </x:c>
      <x:c r="F40" s="40" t="n">
        <x:v>538.93</x:v>
      </x:c>
      <x:c r="G40" s="13" t="str">
        <x:v>Yes</x:v>
      </x:c>
      <x:c r="H40" s="13" t="str">
        <x:v>EFT</x:v>
      </x:c>
    </x:row>
    <x:row r="41">
      <x:c r="A41" s="13" t="str">
        <x:v>X0040</x:v>
      </x:c>
      <x:c r="B41" s="36" t="n">
        <x:v>46172</x:v>
      </x:c>
      <x:c r="C41" s="13" t="str">
        <x:v>Finance</x:v>
      </x:c>
      <x:c r="D41" s="13" t="str">
        <x:v>Training</x:v>
      </x:c>
      <x:c r="E41" s="13" t="str">
        <x:v>LinkedIn Learning</x:v>
      </x:c>
      <x:c r="F41" s="40" t="n">
        <x:v>1054.71</x:v>
      </x:c>
      <x:c r="G41" s="13" t="str">
        <x:v>Yes</x:v>
      </x:c>
      <x:c r="H41" s="13" t="str">
        <x:v>EFT</x:v>
      </x:c>
    </x:row>
    <x:row r="42">
      <x:c r="A42" s="13" t="str">
        <x:v>X0041</x:v>
      </x:c>
      <x:c r="B42" s="36" t="n">
        <x:v>46243</x:v>
      </x:c>
      <x:c r="C42" s="13" t="str">
        <x:v>Sales</x:v>
      </x:c>
      <x:c r="D42" s="13" t="str">
        <x:v>Training</x:v>
      </x:c>
      <x:c r="E42" s="13" t="str">
        <x:v>Coursera for Business</x:v>
      </x:c>
      <x:c r="F42" s="40" t="n">
        <x:v>1287.93</x:v>
      </x:c>
      <x:c r="G42" s="13" t="str">
        <x:v>Yes</x:v>
      </x:c>
      <x:c r="H42" s="13" t="str">
        <x:v>EFT</x:v>
      </x:c>
    </x:row>
    <x:row r="43">
      <x:c r="A43" s="13" t="str">
        <x:v>X0042</x:v>
      </x:c>
      <x:c r="B43" s="36" t="n">
        <x:v>46087</x:v>
      </x:c>
      <x:c r="C43" s="13" t="str">
        <x:v>Operations</x:v>
      </x:c>
      <x:c r="D43" s="13" t="str">
        <x:v>Shipping</x:v>
      </x:c>
      <x:c r="E43" s="13" t="str">
        <x:v>Canada Post</x:v>
      </x:c>
      <x:c r="F43" s="40" t="n">
        <x:v>1082.84</x:v>
      </x:c>
      <x:c r="G43" s="13" t="str">
        <x:v>Yes</x:v>
      </x:c>
      <x:c r="H43" s="13" t="str">
        <x:v>Card</x:v>
      </x:c>
    </x:row>
    <x:row r="44">
      <x:c r="A44" s="13" t="str">
        <x:v>X0043</x:v>
      </x:c>
      <x:c r="B44" s="36" t="n">
        <x:v>46168</x:v>
      </x:c>
      <x:c r="C44" s="13" t="str">
        <x:v>Finance</x:v>
      </x:c>
      <x:c r="D44" s="13" t="str">
        <x:v>Shipping</x:v>
      </x:c>
      <x:c r="E44" s="13" t="str">
        <x:v>FedEx</x:v>
      </x:c>
      <x:c r="F44" s="40" t="n">
        <x:v>1084.53</x:v>
      </x:c>
      <x:c r="G44" s="13" t="str">
        <x:v>Yes</x:v>
      </x:c>
      <x:c r="H44" s="13" t="str">
        <x:v>Cheque</x:v>
      </x:c>
    </x:row>
    <x:row r="45">
      <x:c r="A45" s="13" t="str">
        <x:v>X0044</x:v>
      </x:c>
      <x:c r="B45" s="36" t="n">
        <x:v>46232</x:v>
      </x:c>
      <x:c r="C45" s="13" t="str">
        <x:v>Operations</x:v>
      </x:c>
      <x:c r="D45" s="13" t="str">
        <x:v>Training</x:v>
      </x:c>
      <x:c r="E45" s="13" t="str">
        <x:v>LinkedIn Learning</x:v>
      </x:c>
      <x:c r="F45" s="40" t="n">
        <x:v>468.53</x:v>
      </x:c>
      <x:c r="G45" s="13" t="str">
        <x:v>Yes</x:v>
      </x:c>
      <x:c r="H45" s="13" t="str">
        <x:v>Cheque</x:v>
      </x:c>
    </x:row>
    <x:row r="46">
      <x:c r="A46" s="13" t="str">
        <x:v>X0045</x:v>
      </x:c>
      <x:c r="B46" s="36" t="n">
        <x:v>46240</x:v>
      </x:c>
      <x:c r="C46" s="13" t="str">
        <x:v>Marketing</x:v>
      </x:c>
      <x:c r="D46" s="13" t="str">
        <x:v>Supplies</x:v>
      </x:c>
      <x:c r="E46" s="13" t="str">
        <x:v>Northstar Wholesale</x:v>
      </x:c>
      <x:c r="F46" s="40" t="n">
        <x:v>2009.83</x:v>
      </x:c>
      <x:c r="G46" s="13" t="str">
        <x:v>Yes</x:v>
      </x:c>
      <x:c r="H46" s="13" t="str">
        <x:v>Cheque</x:v>
      </x:c>
    </x:row>
    <x:row r="47">
      <x:c r="A47" s="13" t="str">
        <x:v>X0046</x:v>
      </x:c>
      <x:c r="B47" s="36" t="n">
        <x:v>46084</x:v>
      </x:c>
      <x:c r="C47" s="13" t="str">
        <x:v>Customer Service</x:v>
      </x:c>
      <x:c r="D47" s="13" t="str">
        <x:v>Software</x:v>
      </x:c>
      <x:c r="E47" s="13" t="str">
        <x:v>Microsoft</x:v>
      </x:c>
      <x:c r="F47" s="40" t="n">
        <x:v>1758.58</x:v>
      </x:c>
      <x:c r="G47" s="13" t="str">
        <x:v>Yes</x:v>
      </x:c>
      <x:c r="H47" s="13" t="str">
        <x:v>Cheque</x:v>
      </x:c>
    </x:row>
    <x:row r="48">
      <x:c r="A48" s="13" t="str">
        <x:v>X0047</x:v>
      </x:c>
      <x:c r="B48" s="36" t="n">
        <x:v>46040</x:v>
      </x:c>
      <x:c r="C48" s="13" t="str">
        <x:v>Customer Service</x:v>
      </x:c>
      <x:c r="D48" s="13" t="str">
        <x:v>Software</x:v>
      </x:c>
      <x:c r="E48" s="13" t="str">
        <x:v>Dropbox</x:v>
      </x:c>
      <x:c r="F48" s="40" t="n">
        <x:v>1964.53</x:v>
      </x:c>
      <x:c r="G48" s="13" t="str">
        <x:v>Yes</x:v>
      </x:c>
      <x:c r="H48" s="13" t="str">
        <x:v>Card</x:v>
      </x:c>
    </x:row>
    <x:row r="49">
      <x:c r="A49" s="13" t="str">
        <x:v>X0048</x:v>
      </x:c>
      <x:c r="B49" s="36" t="n">
        <x:v>46133</x:v>
      </x:c>
      <x:c r="C49" s="13" t="str">
        <x:v>Customer Service</x:v>
      </x:c>
      <x:c r="D49" s="13" t="str">
        <x:v>Training</x:v>
      </x:c>
      <x:c r="E49" s="13" t="str">
        <x:v>Local Training Co.</x:v>
      </x:c>
      <x:c r="F49" s="40" t="n">
        <x:v>482.48</x:v>
      </x:c>
      <x:c r="G49" s="13" t="str">
        <x:v>Yes</x:v>
      </x:c>
      <x:c r="H49" s="13" t="str">
        <x:v>Cheque</x:v>
      </x:c>
    </x:row>
    <x:row r="50">
      <x:c r="A50" s="13" t="str">
        <x:v>X0049</x:v>
      </x:c>
      <x:c r="B50" s="36" t="n">
        <x:v>46072</x:v>
      </x:c>
      <x:c r="C50" s="13" t="str">
        <x:v>Finance</x:v>
      </x:c>
      <x:c r="D50" s="13" t="str">
        <x:v>Shipping</x:v>
      </x:c>
      <x:c r="E50" s="13" t="str">
        <x:v>Purolator</x:v>
      </x:c>
      <x:c r="F50" s="40" t="n">
        <x:v>834.71</x:v>
      </x:c>
      <x:c r="G50" s="13" t="str">
        <x:v>Yes</x:v>
      </x:c>
      <x:c r="H50" s="13" t="str">
        <x:v>Card</x:v>
      </x:c>
    </x:row>
    <x:row r="51">
      <x:c r="A51" s="13" t="str">
        <x:v>X0050</x:v>
      </x:c>
      <x:c r="B51" s="36" t="n">
        <x:v>46170</x:v>
      </x:c>
      <x:c r="C51" s="13" t="str">
        <x:v>Operations</x:v>
      </x:c>
      <x:c r="D51" s="13" t="str">
        <x:v>Software</x:v>
      </x:c>
      <x:c r="E51" s="13" t="str">
        <x:v>Zoom</x:v>
      </x:c>
      <x:c r="F51" s="40" t="n">
        <x:v>841.54</x:v>
      </x:c>
      <x:c r="G51" s="13" t="str">
        <x:v>Yes</x:v>
      </x:c>
      <x:c r="H51" s="13" t="str">
        <x:v>Cheque</x:v>
      </x:c>
    </x:row>
    <x:row r="52">
      <x:c r="A52" s="13" t="str">
        <x:v>X0051</x:v>
      </x:c>
      <x:c r="B52" s="36" t="n">
        <x:v>46058</x:v>
      </x:c>
      <x:c r="C52" s="13" t="str">
        <x:v>Operations</x:v>
      </x:c>
      <x:c r="D52" s="13" t="str">
        <x:v>Supplies</x:v>
      </x:c>
      <x:c r="E52" s="13" t="str">
        <x:v>Grand &amp; Toy</x:v>
      </x:c>
      <x:c r="F52" s="40" t="n">
        <x:v>948.35</x:v>
      </x:c>
      <x:c r="G52" s="13" t="str">
        <x:v>Yes</x:v>
      </x:c>
      <x:c r="H52" s="13" t="str">
        <x:v>Cheque</x:v>
      </x:c>
    </x:row>
    <x:row r="53">
      <x:c r="A53" s="13" t="str">
        <x:v>X0052</x:v>
      </x:c>
      <x:c r="B53" s="36" t="n">
        <x:v>46090</x:v>
      </x:c>
      <x:c r="C53" s="13" t="str">
        <x:v>Customer Service</x:v>
      </x:c>
      <x:c r="D53" s="13" t="str">
        <x:v>Software</x:v>
      </x:c>
      <x:c r="E53" s="13" t="str">
        <x:v>Zoom</x:v>
      </x:c>
      <x:c r="F53" s="40" t="n">
        <x:v>2144.57</x:v>
      </x:c>
      <x:c r="G53" s="13" t="str">
        <x:v>No</x:v>
      </x:c>
      <x:c r="H53" s="13" t="str">
        <x:v>Cheque</x:v>
      </x:c>
    </x:row>
    <x:row r="54">
      <x:c r="A54" s="13" t="str">
        <x:v>X0053</x:v>
      </x:c>
      <x:c r="B54" s="36" t="n">
        <x:v>46261</x:v>
      </x:c>
      <x:c r="C54" s="13" t="str">
        <x:v>Marketing</x:v>
      </x:c>
      <x:c r="D54" s="13" t="str">
        <x:v>Training</x:v>
      </x:c>
      <x:c r="E54" s="13" t="str">
        <x:v>Skillsoft</x:v>
      </x:c>
      <x:c r="F54" s="40" t="n">
        <x:v>734.51</x:v>
      </x:c>
      <x:c r="G54" s="13" t="str">
        <x:v>Yes</x:v>
      </x:c>
      <x:c r="H54" s="13" t="str">
        <x:v>Card</x:v>
      </x:c>
    </x:row>
    <x:row r="55">
      <x:c r="A55" s="13" t="str">
        <x:v>X0054</x:v>
      </x:c>
      <x:c r="B55" s="36" t="n">
        <x:v>46186</x:v>
      </x:c>
      <x:c r="C55" s="13" t="str">
        <x:v>Sales</x:v>
      </x:c>
      <x:c r="D55" s="13" t="str">
        <x:v>Travel</x:v>
      </x:c>
      <x:c r="E55" s="13" t="str">
        <x:v>Enterprise Rent-A-Car</x:v>
      </x:c>
      <x:c r="F55" s="40" t="n">
        <x:v>1985.37</x:v>
      </x:c>
      <x:c r="G55" s="13" t="str">
        <x:v>Yes</x:v>
      </x:c>
      <x:c r="H55" s="13" t="str">
        <x:v>EFT</x:v>
      </x:c>
    </x:row>
    <x:row r="56">
      <x:c r="A56" s="13" t="str">
        <x:v>X0055</x:v>
      </x:c>
      <x:c r="B56" s="36" t="n">
        <x:v>46115</x:v>
      </x:c>
      <x:c r="C56" s="13" t="str">
        <x:v>Marketing</x:v>
      </x:c>
      <x:c r="D56" s="13" t="str">
        <x:v>Shipping</x:v>
      </x:c>
      <x:c r="E56" s="13" t="str">
        <x:v>UPS</x:v>
      </x:c>
      <x:c r="F56" s="40" t="n">
        <x:v>1537.33</x:v>
      </x:c>
      <x:c r="G56" s="13" t="str">
        <x:v>Yes</x:v>
      </x:c>
      <x:c r="H56" s="13" t="str">
        <x:v>Cheque</x:v>
      </x:c>
    </x:row>
    <x:row r="57">
      <x:c r="A57" s="13" t="str">
        <x:v>X0056</x:v>
      </x:c>
      <x:c r="B57" s="36" t="n">
        <x:v>46152</x:v>
      </x:c>
      <x:c r="C57" s="13" t="str">
        <x:v>Marketing</x:v>
      </x:c>
      <x:c r="D57" s="13" t="str">
        <x:v>Software</x:v>
      </x:c>
      <x:c r="E57" s="13" t="str">
        <x:v>Microsoft</x:v>
      </x:c>
      <x:c r="F57" s="40" t="n">
        <x:v>1295.09</x:v>
      </x:c>
      <x:c r="G57" s="13" t="str">
        <x:v>Yes</x:v>
      </x:c>
      <x:c r="H57" s="13" t="str">
        <x:v>EFT</x:v>
      </x:c>
    </x:row>
    <x:row r="58">
      <x:c r="A58" s="13" t="str">
        <x:v>X0057</x:v>
      </x:c>
      <x:c r="B58" s="36" t="n">
        <x:v>46182</x:v>
      </x:c>
      <x:c r="C58" s="13" t="str">
        <x:v>Customer Service</x:v>
      </x:c>
      <x:c r="D58" s="13" t="str">
        <x:v>Travel</x:v>
      </x:c>
      <x:c r="E58" s="13" t="str">
        <x:v>Air Canada</x:v>
      </x:c>
      <x:c r="F58" s="40" t="n">
        <x:v>1364.77</x:v>
      </x:c>
      <x:c r="G58" s="13" t="str">
        <x:v>Yes</x:v>
      </x:c>
      <x:c r="H58" s="13" t="str">
        <x:v>EFT</x:v>
      </x:c>
    </x:row>
    <x:row r="59">
      <x:c r="A59" s="13" t="str">
        <x:v>X0058</x:v>
      </x:c>
      <x:c r="B59" s="36" t="n">
        <x:v>46252</x:v>
      </x:c>
      <x:c r="C59" s="13" t="str">
        <x:v>Finance</x:v>
      </x:c>
      <x:c r="D59" s="13" t="str">
        <x:v>Software</x:v>
      </x:c>
      <x:c r="E59" s="13" t="str">
        <x:v>Zoom</x:v>
      </x:c>
      <x:c r="F59" s="40" t="n">
        <x:v>1949.49</x:v>
      </x:c>
      <x:c r="G59" s="13" t="str">
        <x:v>Yes</x:v>
      </x:c>
      <x:c r="H59" s="13" t="str">
        <x:v>Cheque</x:v>
      </x:c>
    </x:row>
    <x:row r="60">
      <x:c r="A60" s="13" t="str">
        <x:v>X0059</x:v>
      </x:c>
      <x:c r="B60" s="36" t="n">
        <x:v>46156</x:v>
      </x:c>
      <x:c r="C60" s="13" t="str">
        <x:v>Marketing</x:v>
      </x:c>
      <x:c r="D60" s="13" t="str">
        <x:v>Supplies</x:v>
      </x:c>
      <x:c r="E60" s="13" t="str">
        <x:v>Staples Business</x:v>
      </x:c>
      <x:c r="F60" s="40" t="n">
        <x:v>30.9</x:v>
      </x:c>
      <x:c r="G60" s="13" t="str">
        <x:v>Yes</x:v>
      </x:c>
      <x:c r="H60" s="13" t="str">
        <x:v>Card</x:v>
      </x:c>
    </x:row>
    <x:row r="61">
      <x:c r="A61" s="13" t="str">
        <x:v>X0060</x:v>
      </x:c>
      <x:c r="B61" s="36" t="n">
        <x:v>46137</x:v>
      </x:c>
      <x:c r="C61" s="13" t="str">
        <x:v>Marketing</x:v>
      </x:c>
      <x:c r="D61" s="13" t="str">
        <x:v>Training</x:v>
      </x:c>
      <x:c r="E61" s="13" t="str">
        <x:v>LinkedIn Learning</x:v>
      </x:c>
      <x:c r="F61" s="40" t="n">
        <x:v>1192.24</x:v>
      </x:c>
      <x:c r="G61" s="13" t="str">
        <x:v>Yes</x:v>
      </x:c>
      <x:c r="H61" s="13" t="str">
        <x:v>EFT</x:v>
      </x:c>
    </x:row>
    <x:row r="62">
      <x:c r="A62" s="13" t="str">
        <x:v>X0061</x:v>
      </x:c>
      <x:c r="B62" s="36" t="n">
        <x:v>46024</x:v>
      </x:c>
      <x:c r="C62" s="13" t="str">
        <x:v>Sales</x:v>
      </x:c>
      <x:c r="D62" s="13" t="str">
        <x:v>Meals</x:v>
      </x:c>
      <x:c r="E62" s="13" t="str">
        <x:v>Harbour Cafe</x:v>
      </x:c>
      <x:c r="F62" s="40" t="n">
        <x:v>1104.14</x:v>
      </x:c>
      <x:c r="G62" s="13" t="str">
        <x:v>Yes</x:v>
      </x:c>
      <x:c r="H62" s="13" t="str">
        <x:v>EFT</x:v>
      </x:c>
    </x:row>
    <x:row r="63">
      <x:c r="A63" s="13" t="str">
        <x:v>X0062</x:v>
      </x:c>
      <x:c r="B63" s="36" t="n">
        <x:v>46133</x:v>
      </x:c>
      <x:c r="C63" s="13" t="str">
        <x:v>Marketing</x:v>
      </x:c>
      <x:c r="D63" s="13" t="str">
        <x:v>Supplies</x:v>
      </x:c>
      <x:c r="E63" s="13" t="str">
        <x:v>Staples Business</x:v>
      </x:c>
      <x:c r="F63" s="40" t="n">
        <x:v>135.42</x:v>
      </x:c>
      <x:c r="G63" s="13" t="str">
        <x:v>No</x:v>
      </x:c>
      <x:c r="H63" s="13" t="str">
        <x:v>Cheque</x:v>
      </x:c>
    </x:row>
    <x:row r="64">
      <x:c r="A64" s="13" t="str">
        <x:v>X0063</x:v>
      </x:c>
      <x:c r="B64" s="36" t="n">
        <x:v>46224</x:v>
      </x:c>
      <x:c r="C64" s="13" t="str">
        <x:v>Finance</x:v>
      </x:c>
      <x:c r="D64" s="13" t="str">
        <x:v>Software</x:v>
      </x:c>
      <x:c r="E64" s="13" t="str">
        <x:v>Microsoft</x:v>
      </x:c>
      <x:c r="F64" s="40" t="n">
        <x:v>1187.04</x:v>
      </x:c>
      <x:c r="G64" s="13" t="str">
        <x:v>Yes</x:v>
      </x:c>
      <x:c r="H64" s="13" t="str">
        <x:v>EFT</x:v>
      </x:c>
    </x:row>
    <x:row r="65">
      <x:c r="A65" s="13" t="str">
        <x:v>X0064</x:v>
      </x:c>
      <x:c r="B65" s="36" t="n">
        <x:v>46051</x:v>
      </x:c>
      <x:c r="C65" s="13" t="str">
        <x:v>Operations</x:v>
      </x:c>
      <x:c r="D65" s="13" t="str">
        <x:v>Training</x:v>
      </x:c>
      <x:c r="E65" s="13" t="str">
        <x:v>LinkedIn Learning</x:v>
      </x:c>
      <x:c r="F65" s="40" t="n">
        <x:v>1446.56</x:v>
      </x:c>
      <x:c r="G65" s="13" t="str">
        <x:v>Yes</x:v>
      </x:c>
      <x:c r="H65" s="13" t="str">
        <x:v>EFT</x:v>
      </x:c>
    </x:row>
    <x:row r="66">
      <x:c r="A66" s="13" t="str">
        <x:v>X0065</x:v>
      </x:c>
      <x:c r="B66" s="36" t="n">
        <x:v>46176</x:v>
      </x:c>
      <x:c r="C66" s="13" t="str">
        <x:v>Finance</x:v>
      </x:c>
      <x:c r="D66" s="13" t="str">
        <x:v>Travel</x:v>
      </x:c>
      <x:c r="E66" s="13" t="str">
        <x:v>Air Canada</x:v>
      </x:c>
      <x:c r="F66" s="40" t="n">
        <x:v>1511.96</x:v>
      </x:c>
      <x:c r="G66" s="13" t="str">
        <x:v>Yes</x:v>
      </x:c>
      <x:c r="H66" s="13" t="str">
        <x:v>Cheque</x:v>
      </x:c>
    </x:row>
    <x:row r="67">
      <x:c r="A67" s="13" t="str">
        <x:v>X0066</x:v>
      </x:c>
      <x:c r="B67" s="36" t="n">
        <x:v>46149</x:v>
      </x:c>
      <x:c r="C67" s="13" t="str">
        <x:v>Sales</x:v>
      </x:c>
      <x:c r="D67" s="13" t="str">
        <x:v>Meals</x:v>
      </x:c>
      <x:c r="E67" s="13" t="str">
        <x:v>Union Kitchen</x:v>
      </x:c>
      <x:c r="F67" s="40" t="n">
        <x:v>1032.67</x:v>
      </x:c>
      <x:c r="G67" s="13" t="str">
        <x:v>No</x:v>
      </x:c>
      <x:c r="H67" s="13" t="str">
        <x:v>Cheque</x:v>
      </x:c>
    </x:row>
    <x:row r="68">
      <x:c r="A68" s="13" t="str">
        <x:v>X0067</x:v>
      </x:c>
      <x:c r="B68" s="36" t="n">
        <x:v>46079</x:v>
      </x:c>
      <x:c r="C68" s="13" t="str">
        <x:v>Marketing</x:v>
      </x:c>
      <x:c r="D68" s="13" t="str">
        <x:v>Shipping</x:v>
      </x:c>
      <x:c r="E68" s="13" t="str">
        <x:v>UPS</x:v>
      </x:c>
      <x:c r="F68" s="40" t="n">
        <x:v>306.22</x:v>
      </x:c>
      <x:c r="G68" s="13" t="str">
        <x:v>Yes</x:v>
      </x:c>
      <x:c r="H68" s="13" t="str">
        <x:v>EFT</x:v>
      </x:c>
    </x:row>
    <x:row r="69">
      <x:c r="A69" s="13" t="str">
        <x:v>X0068</x:v>
      </x:c>
      <x:c r="B69" s="36" t="n">
        <x:v>46034</x:v>
      </x:c>
      <x:c r="C69" s="13" t="str">
        <x:v>Customer Service</x:v>
      </x:c>
      <x:c r="D69" s="13" t="str">
        <x:v>Shipping</x:v>
      </x:c>
      <x:c r="E69" s="13" t="str">
        <x:v>Purolator</x:v>
      </x:c>
      <x:c r="F69" s="40" t="n">
        <x:v>1185.77</x:v>
      </x:c>
      <x:c r="G69" s="13" t="str">
        <x:v>Yes</x:v>
      </x:c>
      <x:c r="H69" s="13" t="str">
        <x:v>Cheque</x:v>
      </x:c>
    </x:row>
    <x:row r="70">
      <x:c r="A70" s="13" t="str">
        <x:v>X0069</x:v>
      </x:c>
      <x:c r="B70" s="36" t="n">
        <x:v>46178</x:v>
      </x:c>
      <x:c r="C70" s="13" t="str">
        <x:v>Sales</x:v>
      </x:c>
      <x:c r="D70" s="13" t="str">
        <x:v>Training</x:v>
      </x:c>
      <x:c r="E70" s="13" t="str">
        <x:v>LinkedIn Learning</x:v>
      </x:c>
      <x:c r="F70" s="40" t="n">
        <x:v>902.23</x:v>
      </x:c>
      <x:c r="G70" s="13" t="str">
        <x:v>Yes</x:v>
      </x:c>
      <x:c r="H70" s="13" t="str">
        <x:v>Cheque</x:v>
      </x:c>
    </x:row>
    <x:row r="71">
      <x:c r="A71" s="13" t="str">
        <x:v>X0070</x:v>
      </x:c>
      <x:c r="B71" s="36" t="n">
        <x:v>46128</x:v>
      </x:c>
      <x:c r="C71" s="13" t="str">
        <x:v>Customer Service</x:v>
      </x:c>
      <x:c r="D71" s="13" t="str">
        <x:v>Meals</x:v>
      </x:c>
      <x:c r="E71" s="13" t="str">
        <x:v>Market Street Catering</x:v>
      </x:c>
      <x:c r="F71" s="40" t="n">
        <x:v>1389.11</x:v>
      </x:c>
      <x:c r="G71" s="13" t="str">
        <x:v>Yes</x:v>
      </x:c>
      <x:c r="H71" s="13" t="str">
        <x:v>Card</x:v>
      </x:c>
    </x:row>
    <x:row r="72">
      <x:c r="A72" s="13" t="str">
        <x:v>X0071</x:v>
      </x:c>
      <x:c r="B72" s="36" t="n">
        <x:v>46152</x:v>
      </x:c>
      <x:c r="C72" s="13" t="str">
        <x:v>Marketing</x:v>
      </x:c>
      <x:c r="D72" s="13" t="str">
        <x:v>Training</x:v>
      </x:c>
      <x:c r="E72" s="13" t="str">
        <x:v>Local Training Co.</x:v>
      </x:c>
      <x:c r="F72" s="40" t="n">
        <x:v>870.89</x:v>
      </x:c>
      <x:c r="G72" s="13" t="str">
        <x:v>Yes</x:v>
      </x:c>
      <x:c r="H72" s="13" t="str">
        <x:v>Cheque</x:v>
      </x:c>
    </x:row>
    <x:row r="73">
      <x:c r="A73" s="13" t="str">
        <x:v>X0072</x:v>
      </x:c>
      <x:c r="B73" s="36" t="n">
        <x:v>46184</x:v>
      </x:c>
      <x:c r="C73" s="13" t="str">
        <x:v>Operations</x:v>
      </x:c>
      <x:c r="D73" s="13" t="str">
        <x:v>Travel</x:v>
      </x:c>
      <x:c r="E73" s="13" t="str">
        <x:v>Enterprise Rent-A-Car</x:v>
      </x:c>
      <x:c r="F73" s="40" t="n">
        <x:v>380.69</x:v>
      </x:c>
      <x:c r="G73" s="13" t="str">
        <x:v>Yes</x:v>
      </x:c>
      <x:c r="H73" s="13" t="str">
        <x:v>Card</x:v>
      </x:c>
    </x:row>
    <x:row r="74">
      <x:c r="A74" s="13" t="str">
        <x:v>X0073</x:v>
      </x:c>
      <x:c r="B74" s="36" t="n">
        <x:v>46092</x:v>
      </x:c>
      <x:c r="C74" s="13" t="str">
        <x:v>Finance</x:v>
      </x:c>
      <x:c r="D74" s="13" t="str">
        <x:v>Supplies</x:v>
      </x:c>
      <x:c r="E74" s="13" t="str">
        <x:v>Office Central</x:v>
      </x:c>
      <x:c r="F74" s="40" t="n">
        <x:v>1139.62</x:v>
      </x:c>
      <x:c r="G74" s="13" t="str">
        <x:v>Yes</x:v>
      </x:c>
      <x:c r="H74" s="13" t="str">
        <x:v>Card</x:v>
      </x:c>
    </x:row>
    <x:row r="75">
      <x:c r="A75" s="13" t="str">
        <x:v>X0074</x:v>
      </x:c>
      <x:c r="B75" s="36" t="n">
        <x:v>46059</x:v>
      </x:c>
      <x:c r="C75" s="13" t="str">
        <x:v>Marketing</x:v>
      </x:c>
      <x:c r="D75" s="13" t="str">
        <x:v>Software</x:v>
      </x:c>
      <x:c r="E75" s="13" t="str">
        <x:v>Atlassian</x:v>
      </x:c>
      <x:c r="F75" s="40" t="n">
        <x:v>634.23</x:v>
      </x:c>
      <x:c r="G75" s="13" t="str">
        <x:v>Yes</x:v>
      </x:c>
      <x:c r="H75" s="13" t="str">
        <x:v>Card</x:v>
      </x:c>
    </x:row>
    <x:row r="76">
      <x:c r="A76" s="13" t="str">
        <x:v>X0075</x:v>
      </x:c>
      <x:c r="B76" s="36" t="n">
        <x:v>46064</x:v>
      </x:c>
      <x:c r="C76" s="13" t="str">
        <x:v>Sales</x:v>
      </x:c>
      <x:c r="D76" s="13" t="str">
        <x:v>Training</x:v>
      </x:c>
      <x:c r="E76" s="13" t="str">
        <x:v>Skillsoft</x:v>
      </x:c>
      <x:c r="F76" s="40" t="n">
        <x:v>264.71</x:v>
      </x:c>
      <x:c r="G76" s="13" t="str">
        <x:v>No</x:v>
      </x:c>
      <x:c r="H76" s="13" t="str">
        <x:v>Card</x:v>
      </x:c>
    </x:row>
    <x:row r="77">
      <x:c r="A77" s="13" t="str">
        <x:v>X0076</x:v>
      </x:c>
      <x:c r="B77" s="36" t="n">
        <x:v>46225</x:v>
      </x:c>
      <x:c r="C77" s="13" t="str">
        <x:v>Operations</x:v>
      </x:c>
      <x:c r="D77" s="13" t="str">
        <x:v>Meals</x:v>
      </x:c>
      <x:c r="E77" s="13" t="str">
        <x:v>Harbour Cafe</x:v>
      </x:c>
      <x:c r="F77" s="40" t="n">
        <x:v>1037.59</x:v>
      </x:c>
      <x:c r="G77" s="13" t="str">
        <x:v>Yes</x:v>
      </x:c>
      <x:c r="H77" s="13" t="str">
        <x:v>Cheque</x:v>
      </x:c>
    </x:row>
    <x:row r="78">
      <x:c r="A78" s="13" t="str">
        <x:v>X0077</x:v>
      </x:c>
      <x:c r="B78" s="36" t="n">
        <x:v>46077</x:v>
      </x:c>
      <x:c r="C78" s="13" t="str">
        <x:v>Operations</x:v>
      </x:c>
      <x:c r="D78" s="13" t="str">
        <x:v>Software</x:v>
      </x:c>
      <x:c r="E78" s="13" t="str">
        <x:v>Atlassian</x:v>
      </x:c>
      <x:c r="F78" s="40" t="n">
        <x:v>1501.8</x:v>
      </x:c>
      <x:c r="G78" s="13" t="str">
        <x:v>Yes</x:v>
      </x:c>
      <x:c r="H78" s="13" t="str">
        <x:v>EFT</x:v>
      </x:c>
    </x:row>
    <x:row r="79">
      <x:c r="A79" s="13" t="str">
        <x:v>X0078</x:v>
      </x:c>
      <x:c r="B79" s="36" t="n">
        <x:v>46073</x:v>
      </x:c>
      <x:c r="C79" s="13" t="str">
        <x:v>Customer Service</x:v>
      </x:c>
      <x:c r="D79" s="13" t="str">
        <x:v>Supplies</x:v>
      </x:c>
      <x:c r="E79" s="13" t="str">
        <x:v>Grand &amp; Toy</x:v>
      </x:c>
      <x:c r="F79" s="40" t="n">
        <x:v>1656.75</x:v>
      </x:c>
      <x:c r="G79" s="13" t="str">
        <x:v>Yes</x:v>
      </x:c>
      <x:c r="H79" s="13" t="str">
        <x:v>Card</x:v>
      </x:c>
    </x:row>
    <x:row r="80">
      <x:c r="A80" s="13" t="str">
        <x:v>X0079</x:v>
      </x:c>
      <x:c r="B80" s="36" t="n">
        <x:v>46237</x:v>
      </x:c>
      <x:c r="C80" s="13" t="str">
        <x:v>Finance</x:v>
      </x:c>
      <x:c r="D80" s="13" t="str">
        <x:v>Travel</x:v>
      </x:c>
      <x:c r="E80" s="13" t="str">
        <x:v>Enterprise Rent-A-Car</x:v>
      </x:c>
      <x:c r="F80" s="40" t="n">
        <x:v>1154.51</x:v>
      </x:c>
      <x:c r="G80" s="13" t="str">
        <x:v>Yes</x:v>
      </x:c>
      <x:c r="H80" s="13" t="str">
        <x:v>EFT</x:v>
      </x:c>
    </x:row>
    <x:row r="81">
      <x:c r="A81" s="13" t="str">
        <x:v>X0080</x:v>
      </x:c>
      <x:c r="B81" s="36" t="n">
        <x:v>46090</x:v>
      </x:c>
      <x:c r="C81" s="13" t="str">
        <x:v>Customer Service</x:v>
      </x:c>
      <x:c r="D81" s="13" t="str">
        <x:v>Software</x:v>
      </x:c>
      <x:c r="E81" s="13" t="str">
        <x:v>Atlassian</x:v>
      </x:c>
      <x:c r="F81" s="40" t="n">
        <x:v>2135.59</x:v>
      </x:c>
      <x:c r="G81" s="13" t="str">
        <x:v>Yes</x:v>
      </x:c>
      <x:c r="H81" s="13" t="str">
        <x:v>Card</x:v>
      </x:c>
    </x:row>
    <x:row r="82">
      <x:c r="A82" s="13" t="str">
        <x:v>X0081</x:v>
      </x:c>
      <x:c r="B82" s="36" t="n">
        <x:v>46191</x:v>
      </x:c>
      <x:c r="C82" s="13" t="str">
        <x:v>Customer Service</x:v>
      </x:c>
      <x:c r="D82" s="13" t="str">
        <x:v>Travel</x:v>
      </x:c>
      <x:c r="E82" s="13" t="str">
        <x:v>Marriott</x:v>
      </x:c>
      <x:c r="F82" s="40" t="n">
        <x:v>1624.99</x:v>
      </x:c>
      <x:c r="G82" s="13" t="str">
        <x:v>No</x:v>
      </x:c>
      <x:c r="H82" s="13" t="str">
        <x:v>Cheque</x:v>
      </x:c>
    </x:row>
    <x:row r="83">
      <x:c r="A83" s="13" t="str">
        <x:v>X0082</x:v>
      </x:c>
      <x:c r="B83" s="36" t="n">
        <x:v>46220</x:v>
      </x:c>
      <x:c r="C83" s="13" t="str">
        <x:v>Customer Service</x:v>
      </x:c>
      <x:c r="D83" s="13" t="str">
        <x:v>Meals</x:v>
      </x:c>
      <x:c r="E83" s="13" t="str">
        <x:v>Harbour Cafe</x:v>
      </x:c>
      <x:c r="F83" s="40" t="n">
        <x:v>1113.83</x:v>
      </x:c>
      <x:c r="G83" s="13" t="str">
        <x:v>Yes</x:v>
      </x:c>
      <x:c r="H83" s="13" t="str">
        <x:v>EFT</x:v>
      </x:c>
    </x:row>
    <x:row r="84">
      <x:c r="A84" s="13" t="str">
        <x:v>X0083</x:v>
      </x:c>
      <x:c r="B84" s="36" t="n">
        <x:v>46072</x:v>
      </x:c>
      <x:c r="C84" s="13" t="str">
        <x:v>Sales</x:v>
      </x:c>
      <x:c r="D84" s="13" t="str">
        <x:v>Shipping</x:v>
      </x:c>
      <x:c r="E84" s="13" t="str">
        <x:v>FedEx</x:v>
      </x:c>
      <x:c r="F84" s="40" t="n">
        <x:v>314.97</x:v>
      </x:c>
      <x:c r="G84" s="13" t="str">
        <x:v>Yes</x:v>
      </x:c>
      <x:c r="H84" s="13" t="str">
        <x:v>Cheque</x:v>
      </x:c>
    </x:row>
    <x:row r="85">
      <x:c r="A85" s="13" t="str">
        <x:v>X0084</x:v>
      </x:c>
      <x:c r="B85" s="36" t="n">
        <x:v>46058</x:v>
      </x:c>
      <x:c r="C85" s="13" t="str">
        <x:v>Operations</x:v>
      </x:c>
      <x:c r="D85" s="13" t="str">
        <x:v>Supplies</x:v>
      </x:c>
      <x:c r="E85" s="13" t="str">
        <x:v>Office Central</x:v>
      </x:c>
      <x:c r="F85" s="40" t="n">
        <x:v>468.08</x:v>
      </x:c>
      <x:c r="G85" s="13" t="str">
        <x:v>Yes</x:v>
      </x:c>
      <x:c r="H85" s="13" t="str">
        <x:v>Cheque</x:v>
      </x:c>
    </x:row>
    <x:row r="86">
      <x:c r="A86" s="13" t="str">
        <x:v>X0085</x:v>
      </x:c>
      <x:c r="B86" s="36" t="n">
        <x:v>46175</x:v>
      </x:c>
      <x:c r="C86" s="13" t="str">
        <x:v>Finance</x:v>
      </x:c>
      <x:c r="D86" s="13" t="str">
        <x:v>Meals</x:v>
      </x:c>
      <x:c r="E86" s="13" t="str">
        <x:v>Maple Bistro</x:v>
      </x:c>
      <x:c r="F86" s="40" t="n">
        <x:v>390.13</x:v>
      </x:c>
      <x:c r="G86" s="13" t="str">
        <x:v>Yes</x:v>
      </x:c>
      <x:c r="H86" s="13" t="str">
        <x:v>EFT</x:v>
      </x:c>
    </x:row>
    <x:row r="87">
      <x:c r="A87" s="13" t="str">
        <x:v>X0086</x:v>
      </x:c>
      <x:c r="B87" s="36" t="n">
        <x:v>46219</x:v>
      </x:c>
      <x:c r="C87" s="13" t="str">
        <x:v>Finance</x:v>
      </x:c>
      <x:c r="D87" s="13" t="str">
        <x:v>Shipping</x:v>
      </x:c>
      <x:c r="E87" s="13" t="str">
        <x:v>UPS</x:v>
      </x:c>
      <x:c r="F87" s="40" t="n">
        <x:v>345.15</x:v>
      </x:c>
      <x:c r="G87" s="13" t="str">
        <x:v>Yes</x:v>
      </x:c>
      <x:c r="H87" s="13" t="str">
        <x:v>Card</x:v>
      </x:c>
    </x:row>
    <x:row r="88">
      <x:c r="A88" s="13" t="str">
        <x:v>X0087</x:v>
      </x:c>
      <x:c r="B88" s="36" t="n">
        <x:v>46194</x:v>
      </x:c>
      <x:c r="C88" s="13" t="str">
        <x:v>Sales</x:v>
      </x:c>
      <x:c r="D88" s="13" t="str">
        <x:v>Supplies</x:v>
      </x:c>
      <x:c r="E88" s="13" t="str">
        <x:v>Grand &amp; Toy</x:v>
      </x:c>
      <x:c r="F88" s="40" t="n">
        <x:v>1008.27</x:v>
      </x:c>
      <x:c r="G88" s="13" t="str">
        <x:v>Yes</x:v>
      </x:c>
      <x:c r="H88" s="13" t="str">
        <x:v>Cheque</x:v>
      </x:c>
    </x:row>
    <x:row r="89">
      <x:c r="A89" s="13" t="str">
        <x:v>X0088</x:v>
      </x:c>
      <x:c r="B89" s="36" t="n">
        <x:v>46068</x:v>
      </x:c>
      <x:c r="C89" s="13" t="str">
        <x:v>Finance</x:v>
      </x:c>
      <x:c r="D89" s="13" t="str">
        <x:v>Training</x:v>
      </x:c>
      <x:c r="E89" s="13" t="str">
        <x:v>Coursera for Business</x:v>
      </x:c>
      <x:c r="F89" s="40" t="n">
        <x:v>651.91</x:v>
      </x:c>
      <x:c r="G89" s="13" t="str">
        <x:v>Yes</x:v>
      </x:c>
      <x:c r="H89" s="13" t="str">
        <x:v>Cheque</x:v>
      </x:c>
    </x:row>
    <x:row r="90">
      <x:c r="A90" s="13" t="str">
        <x:v>X0089</x:v>
      </x:c>
      <x:c r="B90" s="36" t="n">
        <x:v>46144</x:v>
      </x:c>
      <x:c r="C90" s="13" t="str">
        <x:v>Sales</x:v>
      </x:c>
      <x:c r="D90" s="13" t="str">
        <x:v>Meals</x:v>
      </x:c>
      <x:c r="E90" s="13" t="str">
        <x:v>Maple Bistro</x:v>
      </x:c>
      <x:c r="F90" s="40" t="n">
        <x:v>476.76</x:v>
      </x:c>
      <x:c r="G90" s="13" t="str">
        <x:v>Yes</x:v>
      </x:c>
      <x:c r="H90" s="13" t="str">
        <x:v>Cheque</x:v>
      </x:c>
    </x:row>
    <x:row r="91">
      <x:c r="A91" s="13" t="str">
        <x:v>X0090</x:v>
      </x:c>
      <x:c r="B91" s="36" t="n">
        <x:v>46166</x:v>
      </x:c>
      <x:c r="C91" s="13" t="str">
        <x:v>Finance</x:v>
      </x:c>
      <x:c r="D91" s="13" t="str">
        <x:v>Shipping</x:v>
      </x:c>
      <x:c r="E91" s="13" t="str">
        <x:v>Purolator</x:v>
      </x:c>
      <x:c r="F91" s="40" t="n">
        <x:v>1426.99</x:v>
      </x:c>
      <x:c r="G91" s="13" t="str">
        <x:v>Yes</x:v>
      </x:c>
      <x:c r="H91" s="13" t="str">
        <x:v>EFT</x:v>
      </x:c>
    </x:row>
    <x:row r="92">
      <x:c r="A92" s="13" t="str">
        <x:v>X0091</x:v>
      </x:c>
      <x:c r="B92" s="36" t="n">
        <x:v>46107</x:v>
      </x:c>
      <x:c r="C92" s="13" t="str">
        <x:v>Marketing</x:v>
      </x:c>
      <x:c r="D92" s="13" t="str">
        <x:v>Travel</x:v>
      </x:c>
      <x:c r="E92" s="13" t="str">
        <x:v>Enterprise Rent-A-Car</x:v>
      </x:c>
      <x:c r="F92" s="40" t="n">
        <x:v>866.22</x:v>
      </x:c>
      <x:c r="G92" s="13" t="str">
        <x:v>Yes</x:v>
      </x:c>
      <x:c r="H92" s="13" t="str">
        <x:v>Card</x:v>
      </x:c>
    </x:row>
    <x:row r="93">
      <x:c r="A93" s="13" t="str">
        <x:v>X0092</x:v>
      </x:c>
      <x:c r="B93" s="36" t="n">
        <x:v>46119</x:v>
      </x:c>
      <x:c r="C93" s="13" t="str">
        <x:v>Sales</x:v>
      </x:c>
      <x:c r="D93" s="13" t="str">
        <x:v>Travel</x:v>
      </x:c>
      <x:c r="E93" s="13" t="str">
        <x:v>Enterprise Rent-A-Car</x:v>
      </x:c>
      <x:c r="F93" s="40" t="n">
        <x:v>2041.89</x:v>
      </x:c>
      <x:c r="G93" s="13" t="str">
        <x:v>Yes</x:v>
      </x:c>
      <x:c r="H93" s="13" t="str">
        <x:v>Cheque</x:v>
      </x:c>
    </x:row>
    <x:row r="94">
      <x:c r="A94" s="13" t="str">
        <x:v>X0093</x:v>
      </x:c>
      <x:c r="B94" s="36" t="n">
        <x:v>46126</x:v>
      </x:c>
      <x:c r="C94" s="13" t="str">
        <x:v>Customer Service</x:v>
      </x:c>
      <x:c r="D94" s="13" t="str">
        <x:v>Meals</x:v>
      </x:c>
      <x:c r="E94" s="13" t="str">
        <x:v>Harbour Cafe</x:v>
      </x:c>
      <x:c r="F94" s="40" t="n">
        <x:v>1444.66</x:v>
      </x:c>
      <x:c r="G94" s="13" t="str">
        <x:v>Yes</x:v>
      </x:c>
      <x:c r="H94" s="13" t="str">
        <x:v>Cheque</x:v>
      </x:c>
    </x:row>
    <x:row r="95">
      <x:c r="A95" s="13" t="str">
        <x:v>X0094</x:v>
      </x:c>
      <x:c r="B95" s="36" t="n">
        <x:v>46196</x:v>
      </x:c>
      <x:c r="C95" s="13" t="str">
        <x:v>Customer Service</x:v>
      </x:c>
      <x:c r="D95" s="13" t="str">
        <x:v>Travel</x:v>
      </x:c>
      <x:c r="E95" s="13" t="str">
        <x:v>Air Canada</x:v>
      </x:c>
      <x:c r="F95" s="40" t="n">
        <x:v>259.58</x:v>
      </x:c>
      <x:c r="G95" s="13" t="str">
        <x:v>Yes</x:v>
      </x:c>
      <x:c r="H95" s="13" t="str">
        <x:v>Card</x:v>
      </x:c>
    </x:row>
    <x:row r="96">
      <x:c r="A96" s="13" t="str">
        <x:v>X0095</x:v>
      </x:c>
      <x:c r="B96" s="36" t="n">
        <x:v>46023</x:v>
      </x:c>
      <x:c r="C96" s="13" t="str">
        <x:v>Sales</x:v>
      </x:c>
      <x:c r="D96" s="13" t="str">
        <x:v>Travel</x:v>
      </x:c>
      <x:c r="E96" s="13" t="str">
        <x:v>Enterprise Rent-A-Car</x:v>
      </x:c>
      <x:c r="F96" s="40" t="n">
        <x:v>368.79</x:v>
      </x:c>
      <x:c r="G96" s="13" t="str">
        <x:v>Yes</x:v>
      </x:c>
      <x:c r="H96" s="13" t="str">
        <x:v>Cheque</x:v>
      </x:c>
    </x:row>
    <x:row r="97">
      <x:c r="A97" s="13" t="str">
        <x:v>X0096</x:v>
      </x:c>
      <x:c r="B97" s="36" t="n">
        <x:v>46047</x:v>
      </x:c>
      <x:c r="C97" s="13" t="str">
        <x:v>Sales</x:v>
      </x:c>
      <x:c r="D97" s="13" t="str">
        <x:v>Travel</x:v>
      </x:c>
      <x:c r="E97" s="13" t="str">
        <x:v>Enterprise Rent-A-Car</x:v>
      </x:c>
      <x:c r="F97" s="40" t="n">
        <x:v>1018.74</x:v>
      </x:c>
      <x:c r="G97" s="13" t="str">
        <x:v>Yes</x:v>
      </x:c>
      <x:c r="H97" s="13" t="str">
        <x:v>Card</x:v>
      </x:c>
    </x:row>
    <x:row r="98">
      <x:c r="A98" s="13" t="str">
        <x:v>X0097</x:v>
      </x:c>
      <x:c r="B98" s="36" t="n">
        <x:v>46167</x:v>
      </x:c>
      <x:c r="C98" s="13" t="str">
        <x:v>Sales</x:v>
      </x:c>
      <x:c r="D98" s="13" t="str">
        <x:v>Software</x:v>
      </x:c>
      <x:c r="E98" s="13" t="str">
        <x:v>Adobe</x:v>
      </x:c>
      <x:c r="F98" s="40" t="n">
        <x:v>1978.64</x:v>
      </x:c>
      <x:c r="G98" s="13" t="str">
        <x:v>No</x:v>
      </x:c>
      <x:c r="H98" s="13" t="str">
        <x:v>EFT</x:v>
      </x:c>
    </x:row>
    <x:row r="99">
      <x:c r="A99" s="13" t="str">
        <x:v>X0098</x:v>
      </x:c>
      <x:c r="B99" s="36" t="n">
        <x:v>46182</x:v>
      </x:c>
      <x:c r="C99" s="13" t="str">
        <x:v>Finance</x:v>
      </x:c>
      <x:c r="D99" s="13" t="str">
        <x:v>Training</x:v>
      </x:c>
      <x:c r="E99" s="13" t="str">
        <x:v>LinkedIn Learning</x:v>
      </x:c>
      <x:c r="F99" s="40" t="n">
        <x:v>1418.06</x:v>
      </x:c>
      <x:c r="G99" s="13" t="str">
        <x:v>Yes</x:v>
      </x:c>
      <x:c r="H99" s="13" t="str">
        <x:v>Cheque</x:v>
      </x:c>
    </x:row>
    <x:row r="100">
      <x:c r="A100" s="13" t="str">
        <x:v>X0099</x:v>
      </x:c>
      <x:c r="B100" s="36" t="n">
        <x:v>46170</x:v>
      </x:c>
      <x:c r="C100" s="13" t="str">
        <x:v>Marketing</x:v>
      </x:c>
      <x:c r="D100" s="13" t="str">
        <x:v>Supplies</x:v>
      </x:c>
      <x:c r="E100" s="13" t="str">
        <x:v>Staples Business</x:v>
      </x:c>
      <x:c r="F100" s="40" t="n">
        <x:v>1567.43</x:v>
      </x:c>
      <x:c r="G100" s="13" t="str">
        <x:v>Yes</x:v>
      </x:c>
      <x:c r="H100" s="13" t="str">
        <x:v>Card</x:v>
      </x:c>
    </x:row>
    <x:row r="101">
      <x:c r="A101" s="13" t="str">
        <x:v>X0100</x:v>
      </x:c>
      <x:c r="B101" s="36" t="n">
        <x:v>46228</x:v>
      </x:c>
      <x:c r="C101" s="13" t="str">
        <x:v>Finance</x:v>
      </x:c>
      <x:c r="D101" s="13" t="str">
        <x:v>Meals</x:v>
      </x:c>
      <x:c r="E101" s="13" t="str">
        <x:v>Maple Bistro</x:v>
      </x:c>
      <x:c r="F101" s="40" t="n">
        <x:v>1241.57</x:v>
      </x:c>
      <x:c r="G101" s="13" t="str">
        <x:v>Yes</x:v>
      </x:c>
      <x:c r="H101" s="13" t="str">
        <x:v>Card</x:v>
      </x:c>
    </x:row>
    <x:row r="102">
      <x:c r="A102" s="13" t="str">
        <x:v>X0101</x:v>
      </x:c>
      <x:c r="B102" s="36" t="n">
        <x:v>46161</x:v>
      </x:c>
      <x:c r="C102" s="13" t="str">
        <x:v>Finance</x:v>
      </x:c>
      <x:c r="D102" s="13" t="str">
        <x:v>Meals</x:v>
      </x:c>
      <x:c r="E102" s="13" t="str">
        <x:v>Harbour Cafe</x:v>
      </x:c>
      <x:c r="F102" s="40" t="n">
        <x:v>134.62</x:v>
      </x:c>
      <x:c r="G102" s="13" t="str">
        <x:v>Yes</x:v>
      </x:c>
      <x:c r="H102" s="13" t="str">
        <x:v>Card</x:v>
      </x:c>
    </x:row>
    <x:row r="103">
      <x:c r="A103" s="13" t="str">
        <x:v>X0102</x:v>
      </x:c>
      <x:c r="B103" s="36" t="n">
        <x:v>46160</x:v>
      </x:c>
      <x:c r="C103" s="13" t="str">
        <x:v>Marketing</x:v>
      </x:c>
      <x:c r="D103" s="13" t="str">
        <x:v>Travel</x:v>
      </x:c>
      <x:c r="E103" s="13" t="str">
        <x:v>Enterprise Rent-A-Car</x:v>
      </x:c>
      <x:c r="F103" s="40" t="n">
        <x:v>344.6</x:v>
      </x:c>
      <x:c r="G103" s="13" t="str">
        <x:v>No</x:v>
      </x:c>
      <x:c r="H103" s="13" t="str">
        <x:v>Card</x:v>
      </x:c>
    </x:row>
    <x:row r="104">
      <x:c r="A104" s="13" t="str">
        <x:v>X0103</x:v>
      </x:c>
      <x:c r="B104" s="36" t="n">
        <x:v>46093</x:v>
      </x:c>
      <x:c r="C104" s="13" t="str">
        <x:v>Customer Service</x:v>
      </x:c>
      <x:c r="D104" s="13" t="str">
        <x:v>Meals</x:v>
      </x:c>
      <x:c r="E104" s="13" t="str">
        <x:v>Maple Bistro</x:v>
      </x:c>
      <x:c r="F104" s="40" t="n">
        <x:v>2198.29</x:v>
      </x:c>
      <x:c r="G104" s="13" t="str">
        <x:v>Yes</x:v>
      </x:c>
      <x:c r="H104" s="13" t="str">
        <x:v>Card</x:v>
      </x:c>
    </x:row>
    <x:row r="105">
      <x:c r="A105" s="13" t="str">
        <x:v>X0104</x:v>
      </x:c>
      <x:c r="B105" s="36" t="n">
        <x:v>46125</x:v>
      </x:c>
      <x:c r="C105" s="13" t="str">
        <x:v>Operations</x:v>
      </x:c>
      <x:c r="D105" s="13" t="str">
        <x:v>Training</x:v>
      </x:c>
      <x:c r="E105" s="13" t="str">
        <x:v>Skillsoft</x:v>
      </x:c>
      <x:c r="F105" s="40" t="n">
        <x:v>1467.39</x:v>
      </x:c>
      <x:c r="G105" s="13" t="str">
        <x:v>Yes</x:v>
      </x:c>
      <x:c r="H105" s="13" t="str">
        <x:v>EFT</x:v>
      </x:c>
    </x:row>
    <x:row r="106">
      <x:c r="A106" s="13" t="str">
        <x:v>X0105</x:v>
      </x:c>
      <x:c r="B106" s="36" t="n">
        <x:v>46077</x:v>
      </x:c>
      <x:c r="C106" s="13" t="str">
        <x:v>Sales</x:v>
      </x:c>
      <x:c r="D106" s="13" t="str">
        <x:v>Meals</x:v>
      </x:c>
      <x:c r="E106" s="13" t="str">
        <x:v>Harbour Cafe</x:v>
      </x:c>
      <x:c r="F106" s="40" t="n">
        <x:v>2082.57</x:v>
      </x:c>
      <x:c r="G106" s="13" t="str">
        <x:v>Yes</x:v>
      </x:c>
      <x:c r="H106" s="13" t="str">
        <x:v>EFT</x:v>
      </x:c>
    </x:row>
    <x:row r="107">
      <x:c r="A107" s="13" t="str">
        <x:v>X0106</x:v>
      </x:c>
      <x:c r="B107" s="36" t="n">
        <x:v>46166</x:v>
      </x:c>
      <x:c r="C107" s="13" t="str">
        <x:v>Customer Service</x:v>
      </x:c>
      <x:c r="D107" s="13" t="str">
        <x:v>Meals</x:v>
      </x:c>
      <x:c r="E107" s="13" t="str">
        <x:v>Harbour Cafe</x:v>
      </x:c>
      <x:c r="F107" s="40" t="n">
        <x:v>822.36</x:v>
      </x:c>
      <x:c r="G107" s="13" t="str">
        <x:v>Yes</x:v>
      </x:c>
      <x:c r="H107" s="13" t="str">
        <x:v>EFT</x:v>
      </x:c>
    </x:row>
    <x:row r="108">
      <x:c r="A108" s="13" t="str">
        <x:v>X0107</x:v>
      </x:c>
      <x:c r="B108" s="36" t="n">
        <x:v>46024</x:v>
      </x:c>
      <x:c r="C108" s="13" t="str">
        <x:v>Customer Service</x:v>
      </x:c>
      <x:c r="D108" s="13" t="str">
        <x:v>Meals</x:v>
      </x:c>
      <x:c r="E108" s="13" t="str">
        <x:v>Maple Bistro</x:v>
      </x:c>
      <x:c r="F108" s="40" t="n">
        <x:v>122.72</x:v>
      </x:c>
      <x:c r="G108" s="13" t="str">
        <x:v>Yes</x:v>
      </x:c>
      <x:c r="H108" s="13" t="str">
        <x:v>Card</x:v>
      </x:c>
    </x:row>
    <x:row r="109">
      <x:c r="A109" s="13" t="str">
        <x:v>X0108</x:v>
      </x:c>
      <x:c r="B109" s="36" t="n">
        <x:v>46154</x:v>
      </x:c>
      <x:c r="C109" s="13" t="str">
        <x:v>Finance</x:v>
      </x:c>
      <x:c r="D109" s="13" t="str">
        <x:v>Shipping</x:v>
      </x:c>
      <x:c r="E109" s="13" t="str">
        <x:v>UPS</x:v>
      </x:c>
      <x:c r="F109" s="40" t="n">
        <x:v>2006.35</x:v>
      </x:c>
      <x:c r="G109" s="13" t="str">
        <x:v>No</x:v>
      </x:c>
      <x:c r="H109" s="13" t="str">
        <x:v>EFT</x:v>
      </x:c>
    </x:row>
    <x:row r="110">
      <x:c r="A110" s="13" t="str">
        <x:v>X0109</x:v>
      </x:c>
      <x:c r="B110" s="36" t="n">
        <x:v>46255</x:v>
      </x:c>
      <x:c r="C110" s="13" t="str">
        <x:v>Customer Service</x:v>
      </x:c>
      <x:c r="D110" s="13" t="str">
        <x:v>Shipping</x:v>
      </x:c>
      <x:c r="E110" s="13" t="str">
        <x:v>FedEx</x:v>
      </x:c>
      <x:c r="F110" s="40" t="n">
        <x:v>1506.92</x:v>
      </x:c>
      <x:c r="G110" s="13" t="str">
        <x:v>Yes</x:v>
      </x:c>
      <x:c r="H110" s="13" t="str">
        <x:v>EFT</x:v>
      </x:c>
    </x:row>
    <x:row r="111">
      <x:c r="A111" s="13" t="str">
        <x:v>X0110</x:v>
      </x:c>
      <x:c r="B111" s="36" t="n">
        <x:v>46159</x:v>
      </x:c>
      <x:c r="C111" s="13" t="str">
        <x:v>Customer Service</x:v>
      </x:c>
      <x:c r="D111" s="13" t="str">
        <x:v>Shipping</x:v>
      </x:c>
      <x:c r="E111" s="13" t="str">
        <x:v>Purolator</x:v>
      </x:c>
      <x:c r="F111" s="40" t="n">
        <x:v>1419.89</x:v>
      </x:c>
      <x:c r="G111" s="13" t="str">
        <x:v>Yes</x:v>
      </x:c>
      <x:c r="H111" s="13" t="str">
        <x:v>Card</x:v>
      </x:c>
    </x:row>
    <x:row r="112">
      <x:c r="A112" s="13" t="str">
        <x:v>X0111</x:v>
      </x:c>
      <x:c r="B112" s="36" t="n">
        <x:v>46222</x:v>
      </x:c>
      <x:c r="C112" s="13" t="str">
        <x:v>Customer Service</x:v>
      </x:c>
      <x:c r="D112" s="13" t="str">
        <x:v>Supplies</x:v>
      </x:c>
      <x:c r="E112" s="13" t="str">
        <x:v>Grand &amp; Toy</x:v>
      </x:c>
      <x:c r="F112" s="40" t="n">
        <x:v>1691.33</x:v>
      </x:c>
      <x:c r="G112" s="13" t="str">
        <x:v>Yes</x:v>
      </x:c>
      <x:c r="H112" s="13" t="str">
        <x:v>Cheque</x:v>
      </x:c>
    </x:row>
    <x:row r="113">
      <x:c r="A113" s="13" t="str">
        <x:v>X0112</x:v>
      </x:c>
      <x:c r="B113" s="36" t="n">
        <x:v>46137</x:v>
      </x:c>
      <x:c r="C113" s="13" t="str">
        <x:v>Operations</x:v>
      </x:c>
      <x:c r="D113" s="13" t="str">
        <x:v>Meals</x:v>
      </x:c>
      <x:c r="E113" s="13" t="str">
        <x:v>Market Street Catering</x:v>
      </x:c>
      <x:c r="F113" s="40" t="n">
        <x:v>1930.63</x:v>
      </x:c>
      <x:c r="G113" s="13" t="str">
        <x:v>Yes</x:v>
      </x:c>
      <x:c r="H113" s="13" t="str">
        <x:v>Cheque</x:v>
      </x:c>
    </x:row>
    <x:row r="114">
      <x:c r="A114" s="13" t="str">
        <x:v>X0113</x:v>
      </x:c>
      <x:c r="B114" s="36" t="n">
        <x:v>46054</x:v>
      </x:c>
      <x:c r="C114" s="13" t="str">
        <x:v>Sales</x:v>
      </x:c>
      <x:c r="D114" s="13" t="str">
        <x:v>Travel</x:v>
      </x:c>
      <x:c r="E114" s="13" t="str">
        <x:v>Air Canada</x:v>
      </x:c>
      <x:c r="F114" s="40" t="n">
        <x:v>198.53</x:v>
      </x:c>
      <x:c r="G114" s="13" t="str">
        <x:v>Yes</x:v>
      </x:c>
      <x:c r="H114" s="13" t="str">
        <x:v>Card</x:v>
      </x:c>
    </x:row>
    <x:row r="115">
      <x:c r="A115" s="13" t="str">
        <x:v>X0114</x:v>
      </x:c>
      <x:c r="B115" s="36" t="n">
        <x:v>46255</x:v>
      </x:c>
      <x:c r="C115" s="13" t="str">
        <x:v>Marketing</x:v>
      </x:c>
      <x:c r="D115" s="13" t="str">
        <x:v>Software</x:v>
      </x:c>
      <x:c r="E115" s="13" t="str">
        <x:v>Dropbox</x:v>
      </x:c>
      <x:c r="F115" s="40" t="n">
        <x:v>1287.33</x:v>
      </x:c>
      <x:c r="G115" s="13" t="str">
        <x:v>Yes</x:v>
      </x:c>
      <x:c r="H115" s="13" t="str">
        <x:v>Card</x:v>
      </x:c>
    </x:row>
    <x:row r="116">
      <x:c r="A116" s="13" t="str">
        <x:v>X0115</x:v>
      </x:c>
      <x:c r="B116" s="36" t="n">
        <x:v>46233</x:v>
      </x:c>
      <x:c r="C116" s="13" t="str">
        <x:v>Finance</x:v>
      </x:c>
      <x:c r="D116" s="13" t="str">
        <x:v>Shipping</x:v>
      </x:c>
      <x:c r="E116" s="13" t="str">
        <x:v>Purolator</x:v>
      </x:c>
      <x:c r="F116" s="40" t="n">
        <x:v>826.96</x:v>
      </x:c>
      <x:c r="G116" s="13" t="str">
        <x:v>Yes</x:v>
      </x:c>
      <x:c r="H116" s="13" t="str">
        <x:v>Card</x:v>
      </x:c>
    </x:row>
    <x:row r="117">
      <x:c r="A117" s="13" t="str">
        <x:v>X0116</x:v>
      </x:c>
      <x:c r="B117" s="36" t="n">
        <x:v>46215</x:v>
      </x:c>
      <x:c r="C117" s="13" t="str">
        <x:v>Marketing</x:v>
      </x:c>
      <x:c r="D117" s="13" t="str">
        <x:v>Travel</x:v>
      </x:c>
      <x:c r="E117" s="13" t="str">
        <x:v>Enterprise Rent-A-Car</x:v>
      </x:c>
      <x:c r="F117" s="40" t="n">
        <x:v>1899.01</x:v>
      </x:c>
      <x:c r="G117" s="13" t="str">
        <x:v>No</x:v>
      </x:c>
      <x:c r="H117" s="13" t="str">
        <x:v>EFT</x:v>
      </x:c>
    </x:row>
    <x:row r="118">
      <x:c r="A118" s="13" t="str">
        <x:v>X0117</x:v>
      </x:c>
      <x:c r="B118" s="36" t="n">
        <x:v>46215</x:v>
      </x:c>
      <x:c r="C118" s="13" t="str">
        <x:v>Marketing</x:v>
      </x:c>
      <x:c r="D118" s="13" t="str">
        <x:v>Software</x:v>
      </x:c>
      <x:c r="E118" s="13" t="str">
        <x:v>Dropbox</x:v>
      </x:c>
      <x:c r="F118" s="40" t="n">
        <x:v>1502.93</x:v>
      </x:c>
      <x:c r="G118" s="13" t="str">
        <x:v>Yes</x:v>
      </x:c>
      <x:c r="H118" s="13" t="str">
        <x:v>EFT</x:v>
      </x:c>
    </x:row>
    <x:row r="119">
      <x:c r="A119" s="13" t="str">
        <x:v>X0118</x:v>
      </x:c>
      <x:c r="B119" s="36" t="n">
        <x:v>46045</x:v>
      </x:c>
      <x:c r="C119" s="13" t="str">
        <x:v>Operations</x:v>
      </x:c>
      <x:c r="D119" s="13" t="str">
        <x:v>Supplies</x:v>
      </x:c>
      <x:c r="E119" s="13" t="str">
        <x:v>Staples Business</x:v>
      </x:c>
      <x:c r="F119" s="40" t="n">
        <x:v>2136.85</x:v>
      </x:c>
      <x:c r="G119" s="13" t="str">
        <x:v>No</x:v>
      </x:c>
      <x:c r="H119" s="13" t="str">
        <x:v>EFT</x:v>
      </x:c>
    </x:row>
    <x:row r="120">
      <x:c r="A120" s="13" t="str">
        <x:v>X0119</x:v>
      </x:c>
      <x:c r="B120" s="36" t="n">
        <x:v>46182</x:v>
      </x:c>
      <x:c r="C120" s="13" t="str">
        <x:v>Marketing</x:v>
      </x:c>
      <x:c r="D120" s="13" t="str">
        <x:v>Travel</x:v>
      </x:c>
      <x:c r="E120" s="13" t="str">
        <x:v>Air Canada</x:v>
      </x:c>
      <x:c r="F120" s="40" t="n">
        <x:v>1890.33</x:v>
      </x:c>
      <x:c r="G120" s="13" t="str">
        <x:v>Yes</x:v>
      </x:c>
      <x:c r="H120" s="13" t="str">
        <x:v>EFT</x:v>
      </x:c>
    </x:row>
    <x:row r="121">
      <x:c r="A121" s="13" t="str">
        <x:v>X0120</x:v>
      </x:c>
      <x:c r="B121" s="36" t="n">
        <x:v>46198</x:v>
      </x:c>
      <x:c r="C121" s="13" t="str">
        <x:v>Operations</x:v>
      </x:c>
      <x:c r="D121" s="13" t="str">
        <x:v>Supplies</x:v>
      </x:c>
      <x:c r="E121" s="13" t="str">
        <x:v>Northstar Wholesale</x:v>
      </x:c>
      <x:c r="F121" s="40" t="n">
        <x:v>1422.85</x:v>
      </x:c>
      <x:c r="G121" s="13" t="str">
        <x:v>Yes</x:v>
      </x:c>
      <x:c r="H121" s="13" t="str">
        <x:v>Card</x:v>
      </x:c>
    </x:row>
    <x:row r="122">
      <x:c r="A122" s="13" t="str">
        <x:v>X0121</x:v>
      </x:c>
      <x:c r="B122" s="36" t="n">
        <x:v>46095</x:v>
      </x:c>
      <x:c r="C122" s="13" t="str">
        <x:v>Finance</x:v>
      </x:c>
      <x:c r="D122" s="13" t="str">
        <x:v>Shipping</x:v>
      </x:c>
      <x:c r="E122" s="13" t="str">
        <x:v>UPS</x:v>
      </x:c>
      <x:c r="F122" s="40" t="n">
        <x:v>214.54</x:v>
      </x:c>
      <x:c r="G122" s="13" t="str">
        <x:v>Yes</x:v>
      </x:c>
      <x:c r="H122" s="13" t="str">
        <x:v>Card</x:v>
      </x:c>
    </x:row>
    <x:row r="123">
      <x:c r="A123" s="13" t="str">
        <x:v>X0122</x:v>
      </x:c>
      <x:c r="B123" s="36" t="n">
        <x:v>46191</x:v>
      </x:c>
      <x:c r="C123" s="13" t="str">
        <x:v>Customer Service</x:v>
      </x:c>
      <x:c r="D123" s="13" t="str">
        <x:v>Shipping</x:v>
      </x:c>
      <x:c r="E123" s="13" t="str">
        <x:v>Canada Post</x:v>
      </x:c>
      <x:c r="F123" s="40" t="n">
        <x:v>1800.82</x:v>
      </x:c>
      <x:c r="G123" s="13" t="str">
        <x:v>Yes</x:v>
      </x:c>
      <x:c r="H123" s="13" t="str">
        <x:v>Cheque</x:v>
      </x:c>
    </x:row>
    <x:row r="124">
      <x:c r="A124" s="13" t="str">
        <x:v>X0123</x:v>
      </x:c>
      <x:c r="B124" s="36" t="n">
        <x:v>46024</x:v>
      </x:c>
      <x:c r="C124" s="13" t="str">
        <x:v>Sales</x:v>
      </x:c>
      <x:c r="D124" s="13" t="str">
        <x:v>Shipping</x:v>
      </x:c>
      <x:c r="E124" s="13" t="str">
        <x:v>Canada Post</x:v>
      </x:c>
      <x:c r="F124" s="40" t="n">
        <x:v>587.69</x:v>
      </x:c>
      <x:c r="G124" s="13" t="str">
        <x:v>Yes</x:v>
      </x:c>
      <x:c r="H124" s="13" t="str">
        <x:v>Cheque</x:v>
      </x:c>
    </x:row>
    <x:row r="125">
      <x:c r="A125" s="13" t="str">
        <x:v>X0124</x:v>
      </x:c>
      <x:c r="B125" s="36" t="n">
        <x:v>46241</x:v>
      </x:c>
      <x:c r="C125" s="13" t="str">
        <x:v>Operations</x:v>
      </x:c>
      <x:c r="D125" s="13" t="str">
        <x:v>Meals</x:v>
      </x:c>
      <x:c r="E125" s="13" t="str">
        <x:v>Market Street Catering</x:v>
      </x:c>
      <x:c r="F125" s="40" t="n">
        <x:v>1303.86</x:v>
      </x:c>
      <x:c r="G125" s="13" t="str">
        <x:v>Yes</x:v>
      </x:c>
      <x:c r="H125" s="13" t="str">
        <x:v>Cheque</x:v>
      </x:c>
    </x:row>
    <x:row r="126">
      <x:c r="A126" s="13" t="str">
        <x:v>X0125</x:v>
      </x:c>
      <x:c r="B126" s="36" t="n">
        <x:v>46103</x:v>
      </x:c>
      <x:c r="C126" s="13" t="str">
        <x:v>Sales</x:v>
      </x:c>
      <x:c r="D126" s="13" t="str">
        <x:v>Software</x:v>
      </x:c>
      <x:c r="E126" s="13" t="str">
        <x:v>Adobe</x:v>
      </x:c>
      <x:c r="F126" s="40" t="n">
        <x:v>158.18</x:v>
      </x:c>
      <x:c r="G126" s="13" t="str">
        <x:v>Yes</x:v>
      </x:c>
      <x:c r="H126" s="13" t="str">
        <x:v>Cheque</x:v>
      </x:c>
    </x:row>
    <x:row r="127">
      <x:c r="A127" s="13" t="str">
        <x:v>X0126</x:v>
      </x:c>
      <x:c r="B127" s="36" t="n">
        <x:v>46212</x:v>
      </x:c>
      <x:c r="C127" s="13" t="str">
        <x:v>Marketing</x:v>
      </x:c>
      <x:c r="D127" s="13" t="str">
        <x:v>Shipping</x:v>
      </x:c>
      <x:c r="E127" s="13" t="str">
        <x:v>Purolator</x:v>
      </x:c>
      <x:c r="F127" s="40" t="n">
        <x:v>633.57</x:v>
      </x:c>
      <x:c r="G127" s="13" t="str">
        <x:v>Yes</x:v>
      </x:c>
      <x:c r="H127" s="13" t="str">
        <x:v>Cheque</x:v>
      </x:c>
    </x:row>
    <x:row r="128">
      <x:c r="A128" s="13" t="str">
        <x:v>X0127</x:v>
      </x:c>
      <x:c r="B128" s="36" t="n">
        <x:v>46246</x:v>
      </x:c>
      <x:c r="C128" s="13" t="str">
        <x:v>Finance</x:v>
      </x:c>
      <x:c r="D128" s="13" t="str">
        <x:v>Supplies</x:v>
      </x:c>
      <x:c r="E128" s="13" t="str">
        <x:v>Staples Business</x:v>
      </x:c>
      <x:c r="F128" s="40" t="n">
        <x:v>137.85</x:v>
      </x:c>
      <x:c r="G128" s="13" t="str">
        <x:v>Yes</x:v>
      </x:c>
      <x:c r="H128" s="13" t="str">
        <x:v>EFT</x:v>
      </x:c>
    </x:row>
    <x:row r="129">
      <x:c r="A129" s="13" t="str">
        <x:v>X0128</x:v>
      </x:c>
      <x:c r="B129" s="36" t="n">
        <x:v>46189</x:v>
      </x:c>
      <x:c r="C129" s="13" t="str">
        <x:v>Operations</x:v>
      </x:c>
      <x:c r="D129" s="13" t="str">
        <x:v>Meals</x:v>
      </x:c>
      <x:c r="E129" s="13" t="str">
        <x:v>Harbour Cafe</x:v>
      </x:c>
      <x:c r="F129" s="40" t="n">
        <x:v>959.8</x:v>
      </x:c>
      <x:c r="G129" s="13" t="str">
        <x:v>Yes</x:v>
      </x:c>
      <x:c r="H129" s="13" t="str">
        <x:v>EFT</x:v>
      </x:c>
    </x:row>
    <x:row r="130">
      <x:c r="A130" s="13" t="str">
        <x:v>X0129</x:v>
      </x:c>
      <x:c r="B130" s="36" t="n">
        <x:v>46261</x:v>
      </x:c>
      <x:c r="C130" s="13" t="str">
        <x:v>Customer Service</x:v>
      </x:c>
      <x:c r="D130" s="13" t="str">
        <x:v>Travel</x:v>
      </x:c>
      <x:c r="E130" s="13" t="str">
        <x:v>VIA Rail</x:v>
      </x:c>
      <x:c r="F130" s="40" t="n">
        <x:v>637.88</x:v>
      </x:c>
      <x:c r="G130" s="13" t="str">
        <x:v>Yes</x:v>
      </x:c>
      <x:c r="H130" s="13" t="str">
        <x:v>Cheque</x:v>
      </x:c>
    </x:row>
    <x:row r="131">
      <x:c r="A131" s="13" t="str">
        <x:v>X0130</x:v>
      </x:c>
      <x:c r="B131" s="36" t="n">
        <x:v>46243</x:v>
      </x:c>
      <x:c r="C131" s="13" t="str">
        <x:v>Sales</x:v>
      </x:c>
      <x:c r="D131" s="13" t="str">
        <x:v>Travel</x:v>
      </x:c>
      <x:c r="E131" s="13" t="str">
        <x:v>VIA Rail</x:v>
      </x:c>
      <x:c r="F131" s="40" t="n">
        <x:v>996.24</x:v>
      </x:c>
      <x:c r="G131" s="13" t="str">
        <x:v>Yes</x:v>
      </x:c>
      <x:c r="H131" s="13" t="str">
        <x:v>EFT</x:v>
      </x:c>
    </x:row>
    <x:row r="132">
      <x:c r="A132" s="13" t="str">
        <x:v>X0131</x:v>
      </x:c>
      <x:c r="B132" s="36" t="n">
        <x:v>46094</x:v>
      </x:c>
      <x:c r="C132" s="13" t="str">
        <x:v>Operations</x:v>
      </x:c>
      <x:c r="D132" s="13" t="str">
        <x:v>Software</x:v>
      </x:c>
      <x:c r="E132" s="13" t="str">
        <x:v>Zoom</x:v>
      </x:c>
      <x:c r="F132" s="40" t="n">
        <x:v>1325.67</x:v>
      </x:c>
      <x:c r="G132" s="13" t="str">
        <x:v>Yes</x:v>
      </x:c>
      <x:c r="H132" s="13" t="str">
        <x:v>Cheque</x:v>
      </x:c>
    </x:row>
    <x:row r="133">
      <x:c r="A133" s="13" t="str">
        <x:v>X0132</x:v>
      </x:c>
      <x:c r="B133" s="36" t="n">
        <x:v>46229</x:v>
      </x:c>
      <x:c r="C133" s="13" t="str">
        <x:v>Marketing</x:v>
      </x:c>
      <x:c r="D133" s="13" t="str">
        <x:v>Training</x:v>
      </x:c>
      <x:c r="E133" s="13" t="str">
        <x:v>LinkedIn Learning</x:v>
      </x:c>
      <x:c r="F133" s="40" t="n">
        <x:v>1647.85</x:v>
      </x:c>
      <x:c r="G133" s="13" t="str">
        <x:v>Yes</x:v>
      </x:c>
      <x:c r="H133" s="13" t="str">
        <x:v>Card</x:v>
      </x:c>
    </x:row>
    <x:row r="134">
      <x:c r="A134" s="13" t="str">
        <x:v>X0133</x:v>
      </x:c>
      <x:c r="B134" s="36" t="n">
        <x:v>46217</x:v>
      </x:c>
      <x:c r="C134" s="13" t="str">
        <x:v>Finance</x:v>
      </x:c>
      <x:c r="D134" s="13" t="str">
        <x:v>Meals</x:v>
      </x:c>
      <x:c r="E134" s="13" t="str">
        <x:v>Market Street Catering</x:v>
      </x:c>
      <x:c r="F134" s="40" t="n">
        <x:v>2020.57</x:v>
      </x:c>
      <x:c r="G134" s="13" t="str">
        <x:v>Yes</x:v>
      </x:c>
      <x:c r="H134" s="13" t="str">
        <x:v>Cheque</x:v>
      </x:c>
    </x:row>
    <x:row r="135">
      <x:c r="A135" s="13" t="str">
        <x:v>X0134</x:v>
      </x:c>
      <x:c r="B135" s="36" t="n">
        <x:v>46118</x:v>
      </x:c>
      <x:c r="C135" s="13" t="str">
        <x:v>Sales</x:v>
      </x:c>
      <x:c r="D135" s="13" t="str">
        <x:v>Travel</x:v>
      </x:c>
      <x:c r="E135" s="13" t="str">
        <x:v>Air Canada</x:v>
      </x:c>
      <x:c r="F135" s="40" t="n">
        <x:v>31.51</x:v>
      </x:c>
      <x:c r="G135" s="13" t="str">
        <x:v>Yes</x:v>
      </x:c>
      <x:c r="H135" s="13" t="str">
        <x:v>EFT</x:v>
      </x:c>
    </x:row>
    <x:row r="136">
      <x:c r="A136" s="13" t="str">
        <x:v>X0135</x:v>
      </x:c>
      <x:c r="B136" s="36" t="n">
        <x:v>46113</x:v>
      </x:c>
      <x:c r="C136" s="13" t="str">
        <x:v>Marketing</x:v>
      </x:c>
      <x:c r="D136" s="13" t="str">
        <x:v>Shipping</x:v>
      </x:c>
      <x:c r="E136" s="13" t="str">
        <x:v>UPS</x:v>
      </x:c>
      <x:c r="F136" s="40" t="n">
        <x:v>980.32</x:v>
      </x:c>
      <x:c r="G136" s="13" t="str">
        <x:v>Yes</x:v>
      </x:c>
      <x:c r="H136" s="13" t="str">
        <x:v>Cheque</x:v>
      </x:c>
    </x:row>
    <x:row r="137">
      <x:c r="A137" s="13" t="str">
        <x:v>X0136</x:v>
      </x:c>
      <x:c r="B137" s="36" t="n">
        <x:v>46180</x:v>
      </x:c>
      <x:c r="C137" s="13" t="str">
        <x:v>Finance</x:v>
      </x:c>
      <x:c r="D137" s="13" t="str">
        <x:v>Training</x:v>
      </x:c>
      <x:c r="E137" s="13" t="str">
        <x:v>Skillsoft</x:v>
      </x:c>
      <x:c r="F137" s="40" t="n">
        <x:v>1672.63</x:v>
      </x:c>
      <x:c r="G137" s="13" t="str">
        <x:v>Yes</x:v>
      </x:c>
      <x:c r="H137" s="13" t="str">
        <x:v>Cheque</x:v>
      </x:c>
    </x:row>
    <x:row r="138">
      <x:c r="A138" s="13" t="str">
        <x:v>X0137</x:v>
      </x:c>
      <x:c r="B138" s="36" t="n">
        <x:v>46087</x:v>
      </x:c>
      <x:c r="C138" s="13" t="str">
        <x:v>Sales</x:v>
      </x:c>
      <x:c r="D138" s="13" t="str">
        <x:v>Meals</x:v>
      </x:c>
      <x:c r="E138" s="13" t="str">
        <x:v>Maple Bistro</x:v>
      </x:c>
      <x:c r="F138" s="40" t="n">
        <x:v>998.37</x:v>
      </x:c>
      <x:c r="G138" s="13" t="str">
        <x:v>Yes</x:v>
      </x:c>
      <x:c r="H138" s="13" t="str">
        <x:v>Card</x:v>
      </x:c>
    </x:row>
    <x:row r="139">
      <x:c r="A139" s="13" t="str">
        <x:v>X0138</x:v>
      </x:c>
      <x:c r="B139" s="36" t="n">
        <x:v>46055</x:v>
      </x:c>
      <x:c r="C139" s="13" t="str">
        <x:v>Sales</x:v>
      </x:c>
      <x:c r="D139" s="13" t="str">
        <x:v>Supplies</x:v>
      </x:c>
      <x:c r="E139" s="13" t="str">
        <x:v>Northstar Wholesale</x:v>
      </x:c>
      <x:c r="F139" s="40" t="n">
        <x:v>1144.16</x:v>
      </x:c>
      <x:c r="G139" s="13" t="str">
        <x:v>Yes</x:v>
      </x:c>
      <x:c r="H139" s="13" t="str">
        <x:v>Card</x:v>
      </x:c>
    </x:row>
    <x:row r="140">
      <x:c r="A140" s="13" t="str">
        <x:v>X0139</x:v>
      </x:c>
      <x:c r="B140" s="36" t="n">
        <x:v>46086</x:v>
      </x:c>
      <x:c r="C140" s="13" t="str">
        <x:v>Finance</x:v>
      </x:c>
      <x:c r="D140" s="13" t="str">
        <x:v>Training</x:v>
      </x:c>
      <x:c r="E140" s="13" t="str">
        <x:v>Local Training Co.</x:v>
      </x:c>
      <x:c r="F140" s="40" t="n">
        <x:v>462.84</x:v>
      </x:c>
      <x:c r="G140" s="13" t="str">
        <x:v>Yes</x:v>
      </x:c>
      <x:c r="H140" s="13" t="str">
        <x:v>EFT</x:v>
      </x:c>
    </x:row>
    <x:row r="141">
      <x:c r="A141" s="13" t="str">
        <x:v>X0140</x:v>
      </x:c>
      <x:c r="B141" s="36" t="n">
        <x:v>46067</x:v>
      </x:c>
      <x:c r="C141" s="13" t="str">
        <x:v>Sales</x:v>
      </x:c>
      <x:c r="D141" s="13" t="str">
        <x:v>Shipping</x:v>
      </x:c>
      <x:c r="E141" s="13" t="str">
        <x:v>Canada Post</x:v>
      </x:c>
      <x:c r="F141" s="40" t="n">
        <x:v>845.8</x:v>
      </x:c>
      <x:c r="G141" s="13" t="str">
        <x:v>Yes</x:v>
      </x:c>
      <x:c r="H141" s="13" t="str">
        <x:v>EFT</x:v>
      </x:c>
    </x:row>
    <x:row r="142">
      <x:c r="A142" s="13" t="str">
        <x:v>X0141</x:v>
      </x:c>
      <x:c r="B142" s="36" t="n">
        <x:v>46217</x:v>
      </x:c>
      <x:c r="C142" s="13" t="str">
        <x:v>Marketing</x:v>
      </x:c>
      <x:c r="D142" s="13" t="str">
        <x:v>Training</x:v>
      </x:c>
      <x:c r="E142" s="13" t="str">
        <x:v>Skillsoft</x:v>
      </x:c>
      <x:c r="F142" s="40" t="n">
        <x:v>222.99</x:v>
      </x:c>
      <x:c r="G142" s="13" t="str">
        <x:v>Yes</x:v>
      </x:c>
      <x:c r="H142" s="13" t="str">
        <x:v>Cheque</x:v>
      </x:c>
    </x:row>
    <x:row r="143">
      <x:c r="A143" s="13" t="str">
        <x:v>X0142</x:v>
      </x:c>
      <x:c r="B143" s="36" t="n">
        <x:v>46209</x:v>
      </x:c>
      <x:c r="C143" s="13" t="str">
        <x:v>Customer Service</x:v>
      </x:c>
      <x:c r="D143" s="13" t="str">
        <x:v>Shipping</x:v>
      </x:c>
      <x:c r="E143" s="13" t="str">
        <x:v>Purolator</x:v>
      </x:c>
      <x:c r="F143" s="40" t="n">
        <x:v>1070.92</x:v>
      </x:c>
      <x:c r="G143" s="13" t="str">
        <x:v>Yes</x:v>
      </x:c>
      <x:c r="H143" s="13" t="str">
        <x:v>Cheque</x:v>
      </x:c>
    </x:row>
    <x:row r="144">
      <x:c r="A144" s="13" t="str">
        <x:v>X0143</x:v>
      </x:c>
      <x:c r="B144" s="36" t="n">
        <x:v>46072</x:v>
      </x:c>
      <x:c r="C144" s="13" t="str">
        <x:v>Operations</x:v>
      </x:c>
      <x:c r="D144" s="13" t="str">
        <x:v>Meals</x:v>
      </x:c>
      <x:c r="E144" s="13" t="str">
        <x:v>Harbour Cafe</x:v>
      </x:c>
      <x:c r="F144" s="40" t="n">
        <x:v>1067.84</x:v>
      </x:c>
      <x:c r="G144" s="13" t="str">
        <x:v>Yes</x:v>
      </x:c>
      <x:c r="H144" s="13" t="str">
        <x:v>Card</x:v>
      </x:c>
    </x:row>
    <x:row r="145">
      <x:c r="A145" s="13" t="str">
        <x:v>X0144</x:v>
      </x:c>
      <x:c r="B145" s="36" t="n">
        <x:v>46251</x:v>
      </x:c>
      <x:c r="C145" s="13" t="str">
        <x:v>Operations</x:v>
      </x:c>
      <x:c r="D145" s="13" t="str">
        <x:v>Meals</x:v>
      </x:c>
      <x:c r="E145" s="13" t="str">
        <x:v>Harbour Cafe</x:v>
      </x:c>
      <x:c r="F145" s="40" t="n">
        <x:v>115.45</x:v>
      </x:c>
      <x:c r="G145" s="13" t="str">
        <x:v>No</x:v>
      </x:c>
      <x:c r="H145" s="13" t="str">
        <x:v>Cheque</x:v>
      </x:c>
    </x:row>
    <x:row r="146">
      <x:c r="A146" s="13" t="str">
        <x:v>X0145</x:v>
      </x:c>
      <x:c r="B146" s="36" t="n">
        <x:v>46181</x:v>
      </x:c>
      <x:c r="C146" s="13" t="str">
        <x:v>Operations</x:v>
      </x:c>
      <x:c r="D146" s="13" t="str">
        <x:v>Software</x:v>
      </x:c>
      <x:c r="E146" s="13" t="str">
        <x:v>Atlassian</x:v>
      </x:c>
      <x:c r="F146" s="40" t="n">
        <x:v>1120.41</x:v>
      </x:c>
      <x:c r="G146" s="13" t="str">
        <x:v>No</x:v>
      </x:c>
      <x:c r="H146" s="13" t="str">
        <x:v>EFT</x:v>
      </x:c>
    </x:row>
    <x:row r="147">
      <x:c r="A147" s="13" t="str">
        <x:v>X0146</x:v>
      </x:c>
      <x:c r="B147" s="36" t="n">
        <x:v>46025</x:v>
      </x:c>
      <x:c r="C147" s="13" t="str">
        <x:v>Marketing</x:v>
      </x:c>
      <x:c r="D147" s="13" t="str">
        <x:v>Supplies</x:v>
      </x:c>
      <x:c r="E147" s="13" t="str">
        <x:v>Staples Business</x:v>
      </x:c>
      <x:c r="F147" s="40" t="n">
        <x:v>471.04</x:v>
      </x:c>
      <x:c r="G147" s="13" t="str">
        <x:v>Yes</x:v>
      </x:c>
      <x:c r="H147" s="13" t="str">
        <x:v>Card</x:v>
      </x:c>
    </x:row>
    <x:row r="148">
      <x:c r="A148" s="13" t="str">
        <x:v>X0147</x:v>
      </x:c>
      <x:c r="B148" s="36" t="n">
        <x:v>46192</x:v>
      </x:c>
      <x:c r="C148" s="13" t="str">
        <x:v>Sales</x:v>
      </x:c>
      <x:c r="D148" s="13" t="str">
        <x:v>Shipping</x:v>
      </x:c>
      <x:c r="E148" s="13" t="str">
        <x:v>UPS</x:v>
      </x:c>
      <x:c r="F148" s="40" t="n">
        <x:v>1469.49</x:v>
      </x:c>
      <x:c r="G148" s="13" t="str">
        <x:v>Yes</x:v>
      </x:c>
      <x:c r="H148" s="13" t="str">
        <x:v>Card</x:v>
      </x:c>
    </x:row>
    <x:row r="149">
      <x:c r="A149" s="13" t="str">
        <x:v>X0148</x:v>
      </x:c>
      <x:c r="B149" s="36" t="n">
        <x:v>46181</x:v>
      </x:c>
      <x:c r="C149" s="13" t="str">
        <x:v>Marketing</x:v>
      </x:c>
      <x:c r="D149" s="13" t="str">
        <x:v>Shipping</x:v>
      </x:c>
      <x:c r="E149" s="13" t="str">
        <x:v>FedEx</x:v>
      </x:c>
      <x:c r="F149" s="40" t="n">
        <x:v>1414.57</x:v>
      </x:c>
      <x:c r="G149" s="13" t="str">
        <x:v>Yes</x:v>
      </x:c>
      <x:c r="H149" s="13" t="str">
        <x:v>Cheque</x:v>
      </x:c>
    </x:row>
    <x:row r="150">
      <x:c r="A150" s="13" t="str">
        <x:v>X0149</x:v>
      </x:c>
      <x:c r="B150" s="36" t="n">
        <x:v>46122</x:v>
      </x:c>
      <x:c r="C150" s="13" t="str">
        <x:v>Operations</x:v>
      </x:c>
      <x:c r="D150" s="13" t="str">
        <x:v>Shipping</x:v>
      </x:c>
      <x:c r="E150" s="13" t="str">
        <x:v>Canada Post</x:v>
      </x:c>
      <x:c r="F150" s="40" t="n">
        <x:v>483.98</x:v>
      </x:c>
      <x:c r="G150" s="13" t="str">
        <x:v>Yes</x:v>
      </x:c>
      <x:c r="H150" s="13" t="str">
        <x:v>EFT</x:v>
      </x:c>
    </x:row>
    <x:row r="151">
      <x:c r="A151" s="13" t="str">
        <x:v>X0150</x:v>
      </x:c>
      <x:c r="B151" s="36" t="n">
        <x:v>46070</x:v>
      </x:c>
      <x:c r="C151" s="13" t="str">
        <x:v>Marketing</x:v>
      </x:c>
      <x:c r="D151" s="13" t="str">
        <x:v>Travel</x:v>
      </x:c>
      <x:c r="E151" s="13" t="str">
        <x:v>Air Canada</x:v>
      </x:c>
      <x:c r="F151" s="40" t="n">
        <x:v>2195.53</x:v>
      </x:c>
      <x:c r="G151" s="13" t="str">
        <x:v>No</x:v>
      </x:c>
      <x:c r="H151" s="13" t="str">
        <x:v>Card</x:v>
      </x:c>
    </x:row>
  </x:sheetData>
  <x:conditionalFormatting sqref="F2:F151">
    <x:cfRule type="expression" dxfId="5" priority="1">
      <x:formula>F2&gt;1500</x:formula>
    </x:cfRule>
  </x:conditionalFormatting>
  <x:dataValidations count="1">
    <x:dataValidation type="list" sqref="G2:G1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54f21321b40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34" t="str">
        <x:v>OrderID</x:v>
      </x:c>
      <x:c r="B1" s="34" t="str">
        <x:v>OrderDate</x:v>
      </x:c>
      <x:c r="C1" s="34" t="str">
        <x:v>CustomerID</x:v>
      </x:c>
      <x:c r="D1" s="34" t="str">
        <x:v>ProductID</x:v>
      </x:c>
      <x:c r="E1" s="34" t="str">
        <x:v>Region</x:v>
      </x:c>
      <x:c r="F1" s="34" t="str">
        <x:v>SalesRep</x:v>
      </x:c>
      <x:c r="G1" s="34" t="str">
        <x:v>Quantity</x:v>
      </x:c>
      <x:c r="H1" s="34" t="str">
        <x:v>UnitPrice</x:v>
      </x:c>
      <x:c r="I1" s="34" t="str">
        <x:v>Discount</x:v>
      </x:c>
      <x:c r="J1" s="34" t="str">
        <x:v>Revenue</x:v>
      </x:c>
      <x:c r="K1" s="34" t="str">
        <x:v>Status</x:v>
      </x:c>
    </x:row>
    <x:row r="2">
      <x:c r="A2" s="13" t="str">
        <x:v>O0001</x:v>
      </x:c>
      <x:c r="B2" s="36" t="n">
        <x:v>46233</x:v>
      </x:c>
      <x:c r="C2" s="13" t="str">
        <x:v>C100</x:v>
      </x:c>
      <x:c r="D2" s="13" t="str">
        <x:v>P044</x:v>
      </x:c>
      <x:c r="E2" s="13" t="str">
        <x:v>Ottawa</x:v>
      </x:c>
      <x:c r="F2" s="13" t="str">
        <x:v>Casey</x:v>
      </x:c>
      <x:c r="G2" s="13" t="n">
        <x:v>3</x:v>
      </x:c>
      <x:c r="H2" s="44" t="n">
        <x:v>24.3</x:v>
      </x:c>
      <x:c r="I2" s="38" t="n">
        <x:v>0</x:v>
      </x:c>
      <x:c r="J2" s="44" t="n">
        <x:v>72.9</x:v>
      </x:c>
      <x:c r="K2" s="13" t="str">
        <x:v>Completed</x:v>
      </x:c>
    </x:row>
    <x:row r="3">
      <x:c r="A3" s="13" t="str">
        <x:v>O0002</x:v>
      </x:c>
      <x:c r="B3" s="36" t="n">
        <x:v>46226</x:v>
      </x:c>
      <x:c r="C3" s="13" t="str">
        <x:v>C015</x:v>
      </x:c>
      <x:c r="D3" s="13" t="str">
        <x:v>P069</x:v>
      </x:c>
      <x:c r="E3" s="13" t="str">
        <x:v>Western Canada</x:v>
      </x:c>
      <x:c r="F3" s="13" t="str">
        <x:v>Riley</x:v>
      </x:c>
      <x:c r="G3" s="13" t="n">
        <x:v>8</x:v>
      </x:c>
      <x:c r="H3" s="44" t="n">
        <x:v>59</x:v>
      </x:c>
      <x:c r="I3" s="38" t="n">
        <x:v>0</x:v>
      </x:c>
      <x:c r="J3" s="44" t="n">
        <x:v>472</x:v>
      </x:c>
      <x:c r="K3" s="13" t="str">
        <x:v>Completed</x:v>
      </x:c>
    </x:row>
    <x:row r="4">
      <x:c r="A4" s="13" t="str">
        <x:v>O0003</x:v>
      </x:c>
      <x:c r="B4" s="36" t="n">
        <x:v>46162</x:v>
      </x:c>
      <x:c r="C4" s="13" t="str">
        <x:v>C029</x:v>
      </x:c>
      <x:c r="D4" s="13" t="str">
        <x:v>P041</x:v>
      </x:c>
      <x:c r="E4" s="13" t="str">
        <x:v>Southwestern ON</x:v>
      </x:c>
      <x:c r="F4" s="13" t="str">
        <x:v>Taylor</x:v>
      </x:c>
      <x:c r="G4" s="13" t="n">
        <x:v>12</x:v>
      </x:c>
      <x:c r="H4" s="44" t="n">
        <x:v>25.09</x:v>
      </x:c>
      <x:c r="I4" s="38" t="n">
        <x:v>0.05</x:v>
      </x:c>
      <x:c r="J4" s="44" t="n">
        <x:v>286.03</x:v>
      </x:c>
      <x:c r="K4" s="13" t="str">
        <x:v>Completed</x:v>
      </x:c>
    </x:row>
    <x:row r="5">
      <x:c r="A5" s="13" t="str">
        <x:v>O0004</x:v>
      </x:c>
      <x:c r="B5" s="36" t="n">
        <x:v>46113</x:v>
      </x:c>
      <x:c r="C5" s="13" t="str">
        <x:v>C126</x:v>
      </x:c>
      <x:c r="D5" s="13" t="str">
        <x:v>P070</x:v>
      </x:c>
      <x:c r="E5" s="13" t="str">
        <x:v>Southwestern ON</x:v>
      </x:c>
      <x:c r="F5" s="13" t="str">
        <x:v>Jordan</x:v>
      </x:c>
      <x:c r="G5" s="13" t="n">
        <x:v>8</x:v>
      </x:c>
      <x:c r="H5" s="44" t="n">
        <x:v>36.65</x:v>
      </x:c>
      <x:c r="I5" s="38" t="n">
        <x:v>0</x:v>
      </x:c>
      <x:c r="J5" s="44" t="n">
        <x:v>293.2</x:v>
      </x:c>
      <x:c r="K5" s="13" t="str">
        <x:v>Completed</x:v>
      </x:c>
    </x:row>
    <x:row r="6">
      <x:c r="A6" s="13" t="str">
        <x:v>O0005</x:v>
      </x:c>
      <x:c r="B6" s="36" t="n">
        <x:v>46057</x:v>
      </x:c>
      <x:c r="C6" s="13" t="str">
        <x:v>C089</x:v>
      </x:c>
      <x:c r="D6" s="13" t="str">
        <x:v>P075</x:v>
      </x:c>
      <x:c r="E6" s="13" t="str">
        <x:v>Ottawa</x:v>
      </x:c>
      <x:c r="F6" s="13" t="str">
        <x:v>Riley</x:v>
      </x:c>
      <x:c r="G6" s="13" t="n">
        <x:v>11</x:v>
      </x:c>
      <x:c r="H6" s="44" t="n">
        <x:v>34.28</x:v>
      </x:c>
      <x:c r="I6" s="38" t="n">
        <x:v>0.15</x:v>
      </x:c>
      <x:c r="J6" s="44" t="n">
        <x:v>320.52</x:v>
      </x:c>
      <x:c r="K6" s="13" t="str">
        <x:v>Pending</x:v>
      </x:c>
    </x:row>
    <x:row r="7">
      <x:c r="A7" s="13" t="str">
        <x:v>O0006</x:v>
      </x:c>
      <x:c r="B7" s="36" t="n">
        <x:v>46109</x:v>
      </x:c>
      <x:c r="C7" s="13" t="str">
        <x:v>C080</x:v>
      </x:c>
      <x:c r="D7" s="13" t="str">
        <x:v>P062</x:v>
      </x:c>
      <x:c r="E7" s="13" t="str">
        <x:v>GTA West</x:v>
      </x:c>
      <x:c r="F7" s="13" t="str">
        <x:v>Casey</x:v>
      </x:c>
      <x:c r="G7" s="13" t="n">
        <x:v>2</x:v>
      </x:c>
      <x:c r="H7" s="44" t="n">
        <x:v>87.5</x:v>
      </x:c>
      <x:c r="I7" s="38" t="n">
        <x:v>0</x:v>
      </x:c>
      <x:c r="J7" s="44" t="n">
        <x:v>175</x:v>
      </x:c>
      <x:c r="K7" s="13" t="str">
        <x:v>Completed</x:v>
      </x:c>
    </x:row>
    <x:row r="8">
      <x:c r="A8" s="13" t="str">
        <x:v>O0007</x:v>
      </x:c>
      <x:c r="B8" s="36" t="n">
        <x:v>46225</x:v>
      </x:c>
      <x:c r="C8" s="13" t="str">
        <x:v>C124</x:v>
      </x:c>
      <x:c r="D8" s="13" t="str">
        <x:v>P005</x:v>
      </x:c>
      <x:c r="E8" s="13" t="str">
        <x:v>Southwestern ON</x:v>
      </x:c>
      <x:c r="F8" s="13" t="str">
        <x:v>Riley</x:v>
      </x:c>
      <x:c r="G8" s="13" t="n">
        <x:v>4</x:v>
      </x:c>
      <x:c r="H8" s="44" t="n">
        <x:v>34.77</x:v>
      </x:c>
      <x:c r="I8" s="38" t="n">
        <x:v>0.15</x:v>
      </x:c>
      <x:c r="J8" s="44" t="n">
        <x:v>118.22</x:v>
      </x:c>
      <x:c r="K8" s="13" t="str">
        <x:v>Pending</x:v>
      </x:c>
    </x:row>
    <x:row r="9">
      <x:c r="A9" s="13" t="str">
        <x:v>O0008</x:v>
      </x:c>
      <x:c r="B9" s="36" t="n">
        <x:v>46070</x:v>
      </x:c>
      <x:c r="C9" s="13" t="str">
        <x:v>C050</x:v>
      </x:c>
      <x:c r="D9" s="13" t="str">
        <x:v>P069</x:v>
      </x:c>
      <x:c r="E9" s="13" t="str">
        <x:v>GTA West</x:v>
      </x:c>
      <x:c r="F9" s="13" t="str">
        <x:v>Avery</x:v>
      </x:c>
      <x:c r="G9" s="13" t="n">
        <x:v>12</x:v>
      </x:c>
      <x:c r="H9" s="44" t="n">
        <x:v>59</x:v>
      </x:c>
      <x:c r="I9" s="38" t="n">
        <x:v>0</x:v>
      </x:c>
      <x:c r="J9" s="44" t="n">
        <x:v>708</x:v>
      </x:c>
      <x:c r="K9" s="13" t="str">
        <x:v>Pending</x:v>
      </x:c>
    </x:row>
    <x:row r="10">
      <x:c r="A10" s="13" t="str">
        <x:v>O0009</x:v>
      </x:c>
      <x:c r="B10" s="36" t="n">
        <x:v>46154</x:v>
      </x:c>
      <x:c r="C10" s="13" t="str">
        <x:v>C113</x:v>
      </x:c>
      <x:c r="D10" s="13" t="str">
        <x:v>P068</x:v>
      </x:c>
      <x:c r="E10" s="13" t="str">
        <x:v>Western Canada</x:v>
      </x:c>
      <x:c r="F10" s="13" t="str">
        <x:v>Riley</x:v>
      </x:c>
      <x:c r="G10" s="13" t="n">
        <x:v>10</x:v>
      </x:c>
      <x:c r="H10" s="44" t="n">
        <x:v>50.69</x:v>
      </x:c>
      <x:c r="I10" s="38" t="n">
        <x:v>0.1</x:v>
      </x:c>
      <x:c r="J10" s="44" t="n">
        <x:v>456.21</x:v>
      </x:c>
      <x:c r="K10" s="13" t="str">
        <x:v>Completed</x:v>
      </x:c>
    </x:row>
    <x:row r="11">
      <x:c r="A11" s="13" t="str">
        <x:v>O0010</x:v>
      </x:c>
      <x:c r="B11" s="36" t="n">
        <x:v>46261</x:v>
      </x:c>
      <x:c r="C11" s="13" t="str">
        <x:v>C070</x:v>
      </x:c>
      <x:c r="D11" s="13" t="str">
        <x:v>P002</x:v>
      </x:c>
      <x:c r="E11" s="13" t="str">
        <x:v>Ottawa</x:v>
      </x:c>
      <x:c r="F11" s="13" t="str">
        <x:v>Morgan</x:v>
      </x:c>
      <x:c r="G11" s="13" t="n">
        <x:v>12</x:v>
      </x:c>
      <x:c r="H11" s="44" t="n">
        <x:v>32.04</x:v>
      </x:c>
      <x:c r="I11" s="38" t="n">
        <x:v>0</x:v>
      </x:c>
      <x:c r="J11" s="44" t="n">
        <x:v>384.48</x:v>
      </x:c>
      <x:c r="K11" s="13" t="str">
        <x:v>Completed</x:v>
      </x:c>
    </x:row>
    <x:row r="12">
      <x:c r="A12" s="13" t="str">
        <x:v>O0011</x:v>
      </x:c>
      <x:c r="B12" s="36" t="n">
        <x:v>46087</x:v>
      </x:c>
      <x:c r="C12" s="13" t="str">
        <x:v>C078</x:v>
      </x:c>
      <x:c r="D12" s="13" t="str">
        <x:v>P052</x:v>
      </x:c>
      <x:c r="E12" s="13" t="str">
        <x:v>Southwestern ON</x:v>
      </x:c>
      <x:c r="F12" s="13" t="str">
        <x:v>Riley</x:v>
      </x:c>
      <x:c r="G12" s="13" t="n">
        <x:v>1</x:v>
      </x:c>
      <x:c r="H12" s="44" t="n">
        <x:v>22.35</x:v>
      </x:c>
      <x:c r="I12" s="38" t="n">
        <x:v>0</x:v>
      </x:c>
      <x:c r="J12" s="44" t="n">
        <x:v>22.35</x:v>
      </x:c>
      <x:c r="K12" s="13" t="str">
        <x:v>Cancelled</x:v>
      </x:c>
    </x:row>
    <x:row r="13">
      <x:c r="A13" s="13" t="str">
        <x:v>O0012</x:v>
      </x:c>
      <x:c r="B13" s="36" t="n">
        <x:v>46115</x:v>
      </x:c>
      <x:c r="C13" s="13" t="str">
        <x:v>C127</x:v>
      </x:c>
      <x:c r="D13" s="13" t="str">
        <x:v>P054</x:v>
      </x:c>
      <x:c r="E13" s="13" t="str">
        <x:v>Southwestern ON</x:v>
      </x:c>
      <x:c r="F13" s="13" t="str">
        <x:v>Casey</x:v>
      </x:c>
      <x:c r="G13" s="13" t="n">
        <x:v>7</x:v>
      </x:c>
      <x:c r="H13" s="44" t="n">
        <x:v>34.36</x:v>
      </x:c>
      <x:c r="I13" s="38" t="n">
        <x:v>0.05</x:v>
      </x:c>
      <x:c r="J13" s="44" t="n">
        <x:v>228.49</x:v>
      </x:c>
      <x:c r="K13" s="13" t="str">
        <x:v>Completed</x:v>
      </x:c>
    </x:row>
    <x:row r="14">
      <x:c r="A14" s="13" t="str">
        <x:v>O0013</x:v>
      </x:c>
      <x:c r="B14" s="36" t="n">
        <x:v>46146</x:v>
      </x:c>
      <x:c r="C14" s="13" t="str">
        <x:v>C093</x:v>
      </x:c>
      <x:c r="D14" s="13" t="str">
        <x:v>P047</x:v>
      </x:c>
      <x:c r="E14" s="13" t="str">
        <x:v>GTA West</x:v>
      </x:c>
      <x:c r="F14" s="13" t="str">
        <x:v>Avery</x:v>
      </x:c>
      <x:c r="G14" s="13" t="n">
        <x:v>12</x:v>
      </x:c>
      <x:c r="H14" s="44" t="n">
        <x:v>30.55</x:v>
      </x:c>
      <x:c r="I14" s="38" t="n">
        <x:v>0.05</x:v>
      </x:c>
      <x:c r="J14" s="44" t="n">
        <x:v>348.27</x:v>
      </x:c>
      <x:c r="K14" s="13" t="str">
        <x:v>Pending</x:v>
      </x:c>
    </x:row>
    <x:row r="15">
      <x:c r="A15" s="13" t="str">
        <x:v>O0014</x:v>
      </x:c>
      <x:c r="B15" s="36" t="n">
        <x:v>46233</x:v>
      </x:c>
      <x:c r="C15" s="13" t="str">
        <x:v>C133</x:v>
      </x:c>
      <x:c r="D15" s="13" t="str">
        <x:v>P072</x:v>
      </x:c>
      <x:c r="E15" s="13" t="str">
        <x:v>Ottawa</x:v>
      </x:c>
      <x:c r="F15" s="13" t="str">
        <x:v>Casey</x:v>
      </x:c>
      <x:c r="G15" s="13" t="n">
        <x:v>6</x:v>
      </x:c>
      <x:c r="H15" s="44" t="n">
        <x:v>38.37</x:v>
      </x:c>
      <x:c r="I15" s="38" t="n">
        <x:v>0.05</x:v>
      </x:c>
      <x:c r="J15" s="44" t="n">
        <x:v>218.71</x:v>
      </x:c>
      <x:c r="K15" s="13" t="str">
        <x:v>Completed</x:v>
      </x:c>
    </x:row>
    <x:row r="16">
      <x:c r="A16" s="13" t="str">
        <x:v>O0015</x:v>
      </x:c>
      <x:c r="B16" s="36" t="n">
        <x:v>46138</x:v>
      </x:c>
      <x:c r="C16" s="13" t="str">
        <x:v>C109</x:v>
      </x:c>
      <x:c r="D16" s="13" t="str">
        <x:v>P015</x:v>
      </x:c>
      <x:c r="E16" s="13" t="str">
        <x:v>Southwestern ON</x:v>
      </x:c>
      <x:c r="F16" s="13" t="str">
        <x:v>Morgan</x:v>
      </x:c>
      <x:c r="G16" s="13" t="n">
        <x:v>4</x:v>
      </x:c>
      <x:c r="H16" s="44" t="n">
        <x:v>34.36</x:v>
      </x:c>
      <x:c r="I16" s="38" t="n">
        <x:v>0.15</x:v>
      </x:c>
      <x:c r="J16" s="44" t="n">
        <x:v>116.82</x:v>
      </x:c>
      <x:c r="K16" s="13" t="str">
        <x:v>Completed</x:v>
      </x:c>
    </x:row>
    <x:row r="17">
      <x:c r="A17" s="13" t="str">
        <x:v>O0016</x:v>
      </x:c>
      <x:c r="B17" s="36" t="n">
        <x:v>46264</x:v>
      </x:c>
      <x:c r="C17" s="13" t="str">
        <x:v>C123</x:v>
      </x:c>
      <x:c r="D17" s="13" t="str">
        <x:v>P021</x:v>
      </x:c>
      <x:c r="E17" s="13" t="str">
        <x:v>GTA West</x:v>
      </x:c>
      <x:c r="F17" s="13" t="str">
        <x:v>Taylor</x:v>
      </x:c>
      <x:c r="G17" s="13" t="n">
        <x:v>8</x:v>
      </x:c>
      <x:c r="H17" s="44" t="n">
        <x:v>33.53</x:v>
      </x:c>
      <x:c r="I17" s="38" t="n">
        <x:v>0</x:v>
      </x:c>
      <x:c r="J17" s="44" t="n">
        <x:v>268.24</x:v>
      </x:c>
      <x:c r="K17" s="13" t="str">
        <x:v>Cancelled</x:v>
      </x:c>
    </x:row>
    <x:row r="18">
      <x:c r="A18" s="13" t="str">
        <x:v>O0017</x:v>
      </x:c>
      <x:c r="B18" s="36" t="n">
        <x:v>46088</x:v>
      </x:c>
      <x:c r="C18" s="13" t="str">
        <x:v>C138</x:v>
      </x:c>
      <x:c r="D18" s="13" t="str">
        <x:v>P055</x:v>
      </x:c>
      <x:c r="E18" s="13" t="str">
        <x:v>Ottawa</x:v>
      </x:c>
      <x:c r="F18" s="13" t="str">
        <x:v>Jordan</x:v>
      </x:c>
      <x:c r="G18" s="13" t="n">
        <x:v>3</x:v>
      </x:c>
      <x:c r="H18" s="44" t="n">
        <x:v>30.71</x:v>
      </x:c>
      <x:c r="I18" s="38" t="n">
        <x:v>0.1</x:v>
      </x:c>
      <x:c r="J18" s="44" t="n">
        <x:v>82.92</x:v>
      </x:c>
      <x:c r="K18" s="13" t="str">
        <x:v>Completed</x:v>
      </x:c>
    </x:row>
    <x:row r="19">
      <x:c r="A19" s="13" t="str">
        <x:v>O0018</x:v>
      </x:c>
      <x:c r="B19" s="36" t="n">
        <x:v>46191</x:v>
      </x:c>
      <x:c r="C19" s="13" t="str">
        <x:v>C115</x:v>
      </x:c>
      <x:c r="D19" s="13" t="str">
        <x:v>P062</x:v>
      </x:c>
      <x:c r="E19" s="13" t="str">
        <x:v>Western Canada</x:v>
      </x:c>
      <x:c r="F19" s="13" t="str">
        <x:v>Casey</x:v>
      </x:c>
      <x:c r="G19" s="13" t="n">
        <x:v>2</x:v>
      </x:c>
      <x:c r="H19" s="44" t="n">
        <x:v>87.5</x:v>
      </x:c>
      <x:c r="I19" s="38" t="n">
        <x:v>0</x:v>
      </x:c>
      <x:c r="J19" s="44" t="n">
        <x:v>175</x:v>
      </x:c>
      <x:c r="K19" s="13" t="str">
        <x:v>Completed</x:v>
      </x:c>
    </x:row>
    <x:row r="20">
      <x:c r="A20" s="13" t="str">
        <x:v>O0019</x:v>
      </x:c>
      <x:c r="B20" s="36" t="n">
        <x:v>46045</x:v>
      </x:c>
      <x:c r="C20" s="13" t="str">
        <x:v>C089</x:v>
      </x:c>
      <x:c r="D20" s="13" t="str">
        <x:v>P006</x:v>
      </x:c>
      <x:c r="E20" s="13" t="str">
        <x:v>Southwestern ON</x:v>
      </x:c>
      <x:c r="F20" s="13" t="str">
        <x:v>Avery</x:v>
      </x:c>
      <x:c r="G20" s="13" t="n">
        <x:v>11</x:v>
      </x:c>
      <x:c r="H20" s="44" t="n">
        <x:v>22.5</x:v>
      </x:c>
      <x:c r="I20" s="38" t="n">
        <x:v>0.15</x:v>
      </x:c>
      <x:c r="J20" s="44" t="n">
        <x:v>210.38</x:v>
      </x:c>
      <x:c r="K20" s="13" t="str">
        <x:v>Completed</x:v>
      </x:c>
    </x:row>
    <x:row r="21">
      <x:c r="A21" s="13" t="str">
        <x:v>O0020</x:v>
      </x:c>
      <x:c r="B21" s="36" t="n">
        <x:v>46095</x:v>
      </x:c>
      <x:c r="C21" s="13" t="str">
        <x:v>C068</x:v>
      </x:c>
      <x:c r="D21" s="13" t="str">
        <x:v>P001</x:v>
      </x:c>
      <x:c r="E21" s="13" t="str">
        <x:v>Ottawa</x:v>
      </x:c>
      <x:c r="F21" s="13" t="str">
        <x:v>Morgan</x:v>
      </x:c>
      <x:c r="G21" s="13" t="n">
        <x:v>9</x:v>
      </x:c>
      <x:c r="H21" s="44" t="n">
        <x:v>12.66</x:v>
      </x:c>
      <x:c r="I21" s="38" t="n">
        <x:v>0.15</x:v>
      </x:c>
      <x:c r="J21" s="44" t="n">
        <x:v>96.85</x:v>
      </x:c>
      <x:c r="K21" s="13" t="str">
        <x:v>Pending</x:v>
      </x:c>
    </x:row>
    <x:row r="22">
      <x:c r="A22" s="13" t="str">
        <x:v>O0021</x:v>
      </x:c>
      <x:c r="B22" s="36" t="n">
        <x:v>46071</x:v>
      </x:c>
      <x:c r="C22" s="13" t="str">
        <x:v>C077</x:v>
      </x:c>
      <x:c r="D22" s="13" t="str">
        <x:v>P066</x:v>
      </x:c>
      <x:c r="E22" s="13" t="str">
        <x:v>Toronto</x:v>
      </x:c>
      <x:c r="F22" s="13" t="str">
        <x:v>Avery</x:v>
      </x:c>
      <x:c r="G22" s="13" t="n">
        <x:v>9</x:v>
      </x:c>
      <x:c r="H22" s="44" t="n">
        <x:v>32.55</x:v>
      </x:c>
      <x:c r="I22" s="38" t="n">
        <x:v>0</x:v>
      </x:c>
      <x:c r="J22" s="44" t="n">
        <x:v>292.95</x:v>
      </x:c>
      <x:c r="K22" s="13" t="str">
        <x:v>Completed</x:v>
      </x:c>
    </x:row>
    <x:row r="23">
      <x:c r="A23" s="13" t="str">
        <x:v>O0022</x:v>
      </x:c>
      <x:c r="B23" s="36" t="n">
        <x:v>46142</x:v>
      </x:c>
      <x:c r="C23" s="13" t="str">
        <x:v>C032</x:v>
      </x:c>
      <x:c r="D23" s="13" t="str">
        <x:v>P012</x:v>
      </x:c>
      <x:c r="E23" s="13" t="str">
        <x:v>Western Canada</x:v>
      </x:c>
      <x:c r="F23" s="13" t="str">
        <x:v>Taylor</x:v>
      </x:c>
      <x:c r="G23" s="13" t="n">
        <x:v>8</x:v>
      </x:c>
      <x:c r="H23" s="44" t="n">
        <x:v>21.04</x:v>
      </x:c>
      <x:c r="I23" s="38" t="n">
        <x:v>0.1</x:v>
      </x:c>
      <x:c r="J23" s="44" t="n">
        <x:v>151.49</x:v>
      </x:c>
      <x:c r="K23" s="13" t="str">
        <x:v>Completed</x:v>
      </x:c>
    </x:row>
    <x:row r="24">
      <x:c r="A24" s="13" t="str">
        <x:v>O0023</x:v>
      </x:c>
      <x:c r="B24" s="36" t="n">
        <x:v>46104</x:v>
      </x:c>
      <x:c r="C24" s="13" t="str">
        <x:v>C105</x:v>
      </x:c>
      <x:c r="D24" s="13" t="str">
        <x:v>P019</x:v>
      </x:c>
      <x:c r="E24" s="13" t="str">
        <x:v>Southwestern ON</x:v>
      </x:c>
      <x:c r="F24" s="13" t="str">
        <x:v>Taylor</x:v>
      </x:c>
      <x:c r="G24" s="13" t="n">
        <x:v>2</x:v>
      </x:c>
      <x:c r="H24" s="44" t="n">
        <x:v>30.91</x:v>
      </x:c>
      <x:c r="I24" s="38" t="n">
        <x:v>0</x:v>
      </x:c>
      <x:c r="J24" s="44" t="n">
        <x:v>61.82</x:v>
      </x:c>
      <x:c r="K24" s="13" t="str">
        <x:v>Completed</x:v>
      </x:c>
    </x:row>
    <x:row r="25">
      <x:c r="A25" s="13" t="str">
        <x:v>O0024</x:v>
      </x:c>
      <x:c r="B25" s="36" t="n">
        <x:v>46215</x:v>
      </x:c>
      <x:c r="C25" s="13" t="str">
        <x:v>C140</x:v>
      </x:c>
      <x:c r="D25" s="13" t="str">
        <x:v>P033</x:v>
      </x:c>
      <x:c r="E25" s="13" t="str">
        <x:v>Ottawa</x:v>
      </x:c>
      <x:c r="F25" s="13" t="str">
        <x:v>Morgan</x:v>
      </x:c>
      <x:c r="G25" s="13" t="n">
        <x:v>6</x:v>
      </x:c>
      <x:c r="H25" s="44" t="n">
        <x:v>18.86</x:v>
      </x:c>
      <x:c r="I25" s="38" t="n">
        <x:v>0</x:v>
      </x:c>
      <x:c r="J25" s="44" t="n">
        <x:v>113.16</x:v>
      </x:c>
      <x:c r="K25" s="13" t="str">
        <x:v>Pending</x:v>
      </x:c>
    </x:row>
    <x:row r="26">
      <x:c r="A26" s="13" t="str">
        <x:v>O0025</x:v>
      </x:c>
      <x:c r="B26" s="36" t="n">
        <x:v>46085</x:v>
      </x:c>
      <x:c r="C26" s="13" t="str">
        <x:v>C136</x:v>
      </x:c>
      <x:c r="D26" s="13" t="str">
        <x:v>P031</x:v>
      </x:c>
      <x:c r="E26" s="13" t="str">
        <x:v>Ottawa</x:v>
      </x:c>
      <x:c r="F26" s="13" t="str">
        <x:v>Taylor</x:v>
      </x:c>
      <x:c r="G26" s="13" t="n">
        <x:v>3</x:v>
      </x:c>
      <x:c r="H26" s="44" t="n">
        <x:v>26.62</x:v>
      </x:c>
      <x:c r="I26" s="38" t="n">
        <x:v>0</x:v>
      </x:c>
      <x:c r="J26" s="44" t="n">
        <x:v>79.86</x:v>
      </x:c>
      <x:c r="K26" s="13" t="str">
        <x:v>Completed</x:v>
      </x:c>
    </x:row>
    <x:row r="27">
      <x:c r="A27" s="13" t="str">
        <x:v>O0026</x:v>
      </x:c>
      <x:c r="B27" s="36" t="n">
        <x:v>46168</x:v>
      </x:c>
      <x:c r="C27" s="13" t="str">
        <x:v>C064</x:v>
      </x:c>
      <x:c r="D27" s="13" t="str">
        <x:v>P069</x:v>
      </x:c>
      <x:c r="E27" s="13" t="str">
        <x:v>GTA West</x:v>
      </x:c>
      <x:c r="F27" s="13" t="str">
        <x:v>Jordan</x:v>
      </x:c>
      <x:c r="G27" s="13" t="n">
        <x:v>2</x:v>
      </x:c>
      <x:c r="H27" s="44" t="n">
        <x:v>59</x:v>
      </x:c>
      <x:c r="I27" s="38" t="n">
        <x:v>0.1</x:v>
      </x:c>
      <x:c r="J27" s="44" t="n">
        <x:v>106.2</x:v>
      </x:c>
      <x:c r="K27" s="13" t="str">
        <x:v>Completed</x:v>
      </x:c>
    </x:row>
    <x:row r="28">
      <x:c r="A28" s="13" t="str">
        <x:v>O0027</x:v>
      </x:c>
      <x:c r="B28" s="36" t="n">
        <x:v>46049</x:v>
      </x:c>
      <x:c r="C28" s="13" t="str">
        <x:v>C113</x:v>
      </x:c>
      <x:c r="D28" s="13" t="str">
        <x:v>P014</x:v>
      </x:c>
      <x:c r="E28" s="13" t="str">
        <x:v>Ottawa</x:v>
      </x:c>
      <x:c r="F28" s="13" t="str">
        <x:v>Jordan</x:v>
      </x:c>
      <x:c r="G28" s="13" t="n">
        <x:v>12</x:v>
      </x:c>
      <x:c r="H28" s="44" t="n">
        <x:v>21.79</x:v>
      </x:c>
      <x:c r="I28" s="38" t="n">
        <x:v>0</x:v>
      </x:c>
      <x:c r="J28" s="44" t="n">
        <x:v>261.48</x:v>
      </x:c>
      <x:c r="K28" s="13" t="str">
        <x:v>Completed</x:v>
      </x:c>
    </x:row>
    <x:row r="29">
      <x:c r="A29" s="13" t="str">
        <x:v>O0028</x:v>
      </x:c>
      <x:c r="B29" s="36" t="n">
        <x:v>46235</x:v>
      </x:c>
      <x:c r="C29" s="13" t="str">
        <x:v>C101</x:v>
      </x:c>
      <x:c r="D29" s="13" t="str">
        <x:v>P037</x:v>
      </x:c>
      <x:c r="E29" s="13" t="str">
        <x:v>Southwestern ON</x:v>
      </x:c>
      <x:c r="F29" s="13" t="str">
        <x:v>Morgan</x:v>
      </x:c>
      <x:c r="G29" s="13" t="n">
        <x:v>9</x:v>
      </x:c>
      <x:c r="H29" s="44" t="n">
        <x:v>36.84</x:v>
      </x:c>
      <x:c r="I29" s="38" t="n">
        <x:v>0.1</x:v>
      </x:c>
      <x:c r="J29" s="44" t="n">
        <x:v>298.4</x:v>
      </x:c>
      <x:c r="K29" s="13" t="str">
        <x:v>Completed</x:v>
      </x:c>
    </x:row>
    <x:row r="30">
      <x:c r="A30" s="13" t="str">
        <x:v>O0029</x:v>
      </x:c>
      <x:c r="B30" s="36" t="n">
        <x:v>46043</x:v>
      </x:c>
      <x:c r="C30" s="13" t="str">
        <x:v>C013</x:v>
      </x:c>
      <x:c r="D30" s="13" t="str">
        <x:v>P009</x:v>
      </x:c>
      <x:c r="E30" s="13" t="str">
        <x:v>Southwestern ON</x:v>
      </x:c>
      <x:c r="F30" s="13" t="str">
        <x:v>Riley</x:v>
      </x:c>
      <x:c r="G30" s="13" t="n">
        <x:v>9</x:v>
      </x:c>
      <x:c r="H30" s="44" t="n">
        <x:v>29.42</x:v>
      </x:c>
      <x:c r="I30" s="38" t="n">
        <x:v>0</x:v>
      </x:c>
      <x:c r="J30" s="44" t="n">
        <x:v>264.78</x:v>
      </x:c>
      <x:c r="K30" s="13" t="str">
        <x:v>Completed</x:v>
      </x:c>
    </x:row>
    <x:row r="31">
      <x:c r="A31" s="13" t="str">
        <x:v>O0030</x:v>
      </x:c>
      <x:c r="B31" s="36" t="n">
        <x:v>46078</x:v>
      </x:c>
      <x:c r="C31" s="13" t="str">
        <x:v>C103</x:v>
      </x:c>
      <x:c r="D31" s="13" t="str">
        <x:v>P021</x:v>
      </x:c>
      <x:c r="E31" s="13" t="str">
        <x:v>GTA West</x:v>
      </x:c>
      <x:c r="F31" s="13" t="str">
        <x:v>Casey</x:v>
      </x:c>
      <x:c r="G31" s="13" t="n">
        <x:v>5</x:v>
      </x:c>
      <x:c r="H31" s="44" t="n">
        <x:v>33.53</x:v>
      </x:c>
      <x:c r="I31" s="38" t="n">
        <x:v>0</x:v>
      </x:c>
      <x:c r="J31" s="44" t="n">
        <x:v>167.65</x:v>
      </x:c>
      <x:c r="K31" s="13" t="str">
        <x:v>Completed</x:v>
      </x:c>
    </x:row>
    <x:row r="32">
      <x:c r="A32" s="13" t="str">
        <x:v>O0031</x:v>
      </x:c>
      <x:c r="B32" s="36" t="n">
        <x:v>46095</x:v>
      </x:c>
      <x:c r="C32" s="13" t="str">
        <x:v>C077</x:v>
      </x:c>
      <x:c r="D32" s="13" t="str">
        <x:v>P043</x:v>
      </x:c>
      <x:c r="E32" s="13" t="str">
        <x:v>Western Canada</x:v>
      </x:c>
      <x:c r="F32" s="13" t="str">
        <x:v>Morgan</x:v>
      </x:c>
      <x:c r="G32" s="13" t="n">
        <x:v>9</x:v>
      </x:c>
      <x:c r="H32" s="44" t="n">
        <x:v>38.14</x:v>
      </x:c>
      <x:c r="I32" s="38" t="n">
        <x:v>0.1</x:v>
      </x:c>
      <x:c r="J32" s="44" t="n">
        <x:v>308.93</x:v>
      </x:c>
      <x:c r="K32" s="13" t="str">
        <x:v>Completed</x:v>
      </x:c>
    </x:row>
    <x:row r="33">
      <x:c r="A33" s="13" t="str">
        <x:v>O0032</x:v>
      </x:c>
      <x:c r="B33" s="36" t="n">
        <x:v>46176</x:v>
      </x:c>
      <x:c r="C33" s="13" t="str">
        <x:v>C089</x:v>
      </x:c>
      <x:c r="D33" s="13" t="str">
        <x:v>P065</x:v>
      </x:c>
      <x:c r="E33" s="13" t="str">
        <x:v>GTA West</x:v>
      </x:c>
      <x:c r="F33" s="13" t="str">
        <x:v>Riley</x:v>
      </x:c>
      <x:c r="G33" s="13" t="n">
        <x:v>11</x:v>
      </x:c>
      <x:c r="H33" s="44" t="n">
        <x:v>31.76</x:v>
      </x:c>
      <x:c r="I33" s="38" t="n">
        <x:v>0</x:v>
      </x:c>
      <x:c r="J33" s="44" t="n">
        <x:v>349.36</x:v>
      </x:c>
      <x:c r="K33" s="13" t="str">
        <x:v>Completed</x:v>
      </x:c>
    </x:row>
    <x:row r="34">
      <x:c r="A34" s="13" t="str">
        <x:v>O0033</x:v>
      </x:c>
      <x:c r="B34" s="36" t="n">
        <x:v>46208</x:v>
      </x:c>
      <x:c r="C34" s="13" t="str">
        <x:v>C021</x:v>
      </x:c>
      <x:c r="D34" s="13" t="str">
        <x:v>P062</x:v>
      </x:c>
      <x:c r="E34" s="13" t="str">
        <x:v>Southwestern ON</x:v>
      </x:c>
      <x:c r="F34" s="13" t="str">
        <x:v>Taylor</x:v>
      </x:c>
      <x:c r="G34" s="13" t="n">
        <x:v>1</x:v>
      </x:c>
      <x:c r="H34" s="44" t="n">
        <x:v>87.5</x:v>
      </x:c>
      <x:c r="I34" s="38" t="n">
        <x:v>0</x:v>
      </x:c>
      <x:c r="J34" s="44" t="n">
        <x:v>87.5</x:v>
      </x:c>
      <x:c r="K34" s="13" t="str">
        <x:v>Cancelled</x:v>
      </x:c>
    </x:row>
    <x:row r="35">
      <x:c r="A35" s="13" t="str">
        <x:v>O0034</x:v>
      </x:c>
      <x:c r="B35" s="36" t="n">
        <x:v>46028</x:v>
      </x:c>
      <x:c r="C35" s="13" t="str">
        <x:v>C120</x:v>
      </x:c>
      <x:c r="D35" s="13" t="str">
        <x:v>P057</x:v>
      </x:c>
      <x:c r="E35" s="13" t="str">
        <x:v>Toronto</x:v>
      </x:c>
      <x:c r="F35" s="13" t="str">
        <x:v>Riley</x:v>
      </x:c>
      <x:c r="G35" s="13" t="n">
        <x:v>11</x:v>
      </x:c>
      <x:c r="H35" s="44" t="n">
        <x:v>16.91</x:v>
      </x:c>
      <x:c r="I35" s="38" t="n">
        <x:v>0.15</x:v>
      </x:c>
      <x:c r="J35" s="44" t="n">
        <x:v>158.11</x:v>
      </x:c>
      <x:c r="K35" s="13" t="str">
        <x:v>Pending</x:v>
      </x:c>
    </x:row>
    <x:row r="36">
      <x:c r="A36" s="13" t="str">
        <x:v>O0035</x:v>
      </x:c>
      <x:c r="B36" s="36" t="n">
        <x:v>46139</x:v>
      </x:c>
      <x:c r="C36" s="13" t="str">
        <x:v>C007</x:v>
      </x:c>
      <x:c r="D36" s="13" t="str">
        <x:v>P037</x:v>
      </x:c>
      <x:c r="E36" s="13" t="str">
        <x:v>Western Canada</x:v>
      </x:c>
      <x:c r="F36" s="13" t="str">
        <x:v>Taylor</x:v>
      </x:c>
      <x:c r="G36" s="13" t="n">
        <x:v>6</x:v>
      </x:c>
      <x:c r="H36" s="44" t="n">
        <x:v>36.84</x:v>
      </x:c>
      <x:c r="I36" s="38" t="n">
        <x:v>0.05</x:v>
      </x:c>
      <x:c r="J36" s="44" t="n">
        <x:v>209.99</x:v>
      </x:c>
      <x:c r="K36" s="13" t="str">
        <x:v>Completed</x:v>
      </x:c>
    </x:row>
    <x:row r="37">
      <x:c r="A37" s="13" t="str">
        <x:v>O0036</x:v>
      </x:c>
      <x:c r="B37" s="36" t="n">
        <x:v>46173</x:v>
      </x:c>
      <x:c r="C37" s="13" t="str">
        <x:v>C133</x:v>
      </x:c>
      <x:c r="D37" s="13" t="str">
        <x:v>P069</x:v>
      </x:c>
      <x:c r="E37" s="13" t="str">
        <x:v>GTA West</x:v>
      </x:c>
      <x:c r="F37" s="13" t="str">
        <x:v>Morgan</x:v>
      </x:c>
      <x:c r="G37" s="13" t="n">
        <x:v>3</x:v>
      </x:c>
      <x:c r="H37" s="44" t="n">
        <x:v>59</x:v>
      </x:c>
      <x:c r="I37" s="38" t="n">
        <x:v>0.05</x:v>
      </x:c>
      <x:c r="J37" s="44" t="n">
        <x:v>168.15</x:v>
      </x:c>
      <x:c r="K37" s="13" t="str">
        <x:v>Completed</x:v>
      </x:c>
    </x:row>
    <x:row r="38">
      <x:c r="A38" s="13" t="str">
        <x:v>O0037</x:v>
      </x:c>
      <x:c r="B38" s="36" t="n">
        <x:v>46201</x:v>
      </x:c>
      <x:c r="C38" s="13" t="str">
        <x:v>C043</x:v>
      </x:c>
      <x:c r="D38" s="13" t="str">
        <x:v>P053</x:v>
      </x:c>
      <x:c r="E38" s="13" t="str">
        <x:v>Ottawa</x:v>
      </x:c>
      <x:c r="F38" s="13" t="str">
        <x:v>Casey</x:v>
      </x:c>
      <x:c r="G38" s="13" t="n">
        <x:v>12</x:v>
      </x:c>
      <x:c r="H38" s="44" t="n">
        <x:v>17.95</x:v>
      </x:c>
      <x:c r="I38" s="38" t="n">
        <x:v>0</x:v>
      </x:c>
      <x:c r="J38" s="44" t="n">
        <x:v>215.4</x:v>
      </x:c>
      <x:c r="K38" s="13" t="str">
        <x:v>Pending</x:v>
      </x:c>
    </x:row>
    <x:row r="39">
      <x:c r="A39" s="13" t="str">
        <x:v>O0038</x:v>
      </x:c>
      <x:c r="B39" s="36" t="n">
        <x:v>46216</x:v>
      </x:c>
      <x:c r="C39" s="13" t="str">
        <x:v>C035</x:v>
      </x:c>
      <x:c r="D39" s="13" t="str">
        <x:v>P018</x:v>
      </x:c>
      <x:c r="E39" s="13" t="str">
        <x:v>Southwestern ON</x:v>
      </x:c>
      <x:c r="F39" s="13" t="str">
        <x:v>Casey</x:v>
      </x:c>
      <x:c r="G39" s="13" t="n">
        <x:v>9</x:v>
      </x:c>
      <x:c r="H39" s="44" t="n">
        <x:v>19.54</x:v>
      </x:c>
      <x:c r="I39" s="38" t="n">
        <x:v>0.05</x:v>
      </x:c>
      <x:c r="J39" s="44" t="n">
        <x:v>167.07</x:v>
      </x:c>
      <x:c r="K39" s="13" t="str">
        <x:v>Cancelled</x:v>
      </x:c>
    </x:row>
    <x:row r="40">
      <x:c r="A40" s="13" t="str">
        <x:v>O0039</x:v>
      </x:c>
      <x:c r="B40" s="36" t="n">
        <x:v>46230</x:v>
      </x:c>
      <x:c r="C40" s="13" t="str">
        <x:v>C114</x:v>
      </x:c>
      <x:c r="D40" s="13" t="str">
        <x:v>P039</x:v>
      </x:c>
      <x:c r="E40" s="13" t="str">
        <x:v>Ottawa</x:v>
      </x:c>
      <x:c r="F40" s="13" t="str">
        <x:v>Morgan</x:v>
      </x:c>
      <x:c r="G40" s="13" t="n">
        <x:v>10</x:v>
      </x:c>
      <x:c r="H40" s="44" t="n">
        <x:v>14.42</x:v>
      </x:c>
      <x:c r="I40" s="38" t="n">
        <x:v>0</x:v>
      </x:c>
      <x:c r="J40" s="44" t="n">
        <x:v>144.2</x:v>
      </x:c>
      <x:c r="K40" s="13" t="str">
        <x:v>Completed</x:v>
      </x:c>
    </x:row>
    <x:row r="41">
      <x:c r="A41" s="13" t="str">
        <x:v>O0040</x:v>
      </x:c>
      <x:c r="B41" s="36" t="n">
        <x:v>46240</x:v>
      </x:c>
      <x:c r="C41" s="13" t="str">
        <x:v>C036</x:v>
      </x:c>
      <x:c r="D41" s="13" t="str">
        <x:v>P014</x:v>
      </x:c>
      <x:c r="E41" s="13" t="str">
        <x:v>Toronto</x:v>
      </x:c>
      <x:c r="F41" s="13" t="str">
        <x:v>Riley</x:v>
      </x:c>
      <x:c r="G41" s="13" t="n">
        <x:v>1</x:v>
      </x:c>
      <x:c r="H41" s="44" t="n">
        <x:v>21.79</x:v>
      </x:c>
      <x:c r="I41" s="38" t="n">
        <x:v>0.15</x:v>
      </x:c>
      <x:c r="J41" s="44" t="n">
        <x:v>18.52</x:v>
      </x:c>
      <x:c r="K41" s="13" t="str">
        <x:v>Completed</x:v>
      </x:c>
    </x:row>
    <x:row r="42">
      <x:c r="A42" s="13" t="str">
        <x:v>O0041</x:v>
      </x:c>
      <x:c r="B42" s="36" t="n">
        <x:v>46059</x:v>
      </x:c>
      <x:c r="C42" s="13" t="str">
        <x:v>C020</x:v>
      </x:c>
      <x:c r="D42" s="13" t="str">
        <x:v>P005</x:v>
      </x:c>
      <x:c r="E42" s="13" t="str">
        <x:v>GTA West</x:v>
      </x:c>
      <x:c r="F42" s="13" t="str">
        <x:v>Casey</x:v>
      </x:c>
      <x:c r="G42" s="13" t="n">
        <x:v>9</x:v>
      </x:c>
      <x:c r="H42" s="44" t="n">
        <x:v>34.77</x:v>
      </x:c>
      <x:c r="I42" s="38" t="n">
        <x:v>0.15</x:v>
      </x:c>
      <x:c r="J42" s="44" t="n">
        <x:v>265.99</x:v>
      </x:c>
      <x:c r="K42" s="13" t="str">
        <x:v>Completed</x:v>
      </x:c>
    </x:row>
    <x:row r="43">
      <x:c r="A43" s="13" t="str">
        <x:v>O0042</x:v>
      </x:c>
      <x:c r="B43" s="36" t="n">
        <x:v>46122</x:v>
      </x:c>
      <x:c r="C43" s="13" t="str">
        <x:v>C105</x:v>
      </x:c>
      <x:c r="D43" s="13" t="str">
        <x:v>P075</x:v>
      </x:c>
      <x:c r="E43" s="13" t="str">
        <x:v>Toronto</x:v>
      </x:c>
      <x:c r="F43" s="13" t="str">
        <x:v>Taylor</x:v>
      </x:c>
      <x:c r="G43" s="13" t="n">
        <x:v>9</x:v>
      </x:c>
      <x:c r="H43" s="44" t="n">
        <x:v>34.28</x:v>
      </x:c>
      <x:c r="I43" s="38" t="n">
        <x:v>0.05</x:v>
      </x:c>
      <x:c r="J43" s="44" t="n">
        <x:v>293.09</x:v>
      </x:c>
      <x:c r="K43" s="13" t="str">
        <x:v>Completed</x:v>
      </x:c>
    </x:row>
    <x:row r="44">
      <x:c r="A44" s="13" t="str">
        <x:v>O0043</x:v>
      </x:c>
      <x:c r="B44" s="36" t="n">
        <x:v>46145</x:v>
      </x:c>
      <x:c r="C44" s="13" t="str">
        <x:v>C052</x:v>
      </x:c>
      <x:c r="D44" s="13" t="str">
        <x:v>P006</x:v>
      </x:c>
      <x:c r="E44" s="13" t="str">
        <x:v>GTA West</x:v>
      </x:c>
      <x:c r="F44" s="13" t="str">
        <x:v>Jordan</x:v>
      </x:c>
      <x:c r="G44" s="13" t="n">
        <x:v>6</x:v>
      </x:c>
      <x:c r="H44" s="44" t="n">
        <x:v>22.5</x:v>
      </x:c>
      <x:c r="I44" s="38" t="n">
        <x:v>0</x:v>
      </x:c>
      <x:c r="J44" s="44" t="n">
        <x:v>135</x:v>
      </x:c>
      <x:c r="K44" s="13" t="str">
        <x:v>Completed</x:v>
      </x:c>
    </x:row>
    <x:row r="45">
      <x:c r="A45" s="13" t="str">
        <x:v>O0044</x:v>
      </x:c>
      <x:c r="B45" s="36" t="n">
        <x:v>46060</x:v>
      </x:c>
      <x:c r="C45" s="13" t="str">
        <x:v>C139</x:v>
      </x:c>
      <x:c r="D45" s="13" t="str">
        <x:v>P067</x:v>
      </x:c>
      <x:c r="E45" s="13" t="str">
        <x:v>GTA West</x:v>
      </x:c>
      <x:c r="F45" s="13" t="str">
        <x:v>Casey</x:v>
      </x:c>
      <x:c r="G45" s="13" t="n">
        <x:v>9</x:v>
      </x:c>
      <x:c r="H45" s="44" t="n">
        <x:v>39.47</x:v>
      </x:c>
      <x:c r="I45" s="38" t="n">
        <x:v>0</x:v>
      </x:c>
      <x:c r="J45" s="44" t="n">
        <x:v>355.23</x:v>
      </x:c>
      <x:c r="K45" s="13" t="str">
        <x:v>Completed</x:v>
      </x:c>
    </x:row>
    <x:row r="46">
      <x:c r="A46" s="13" t="str">
        <x:v>O0045</x:v>
      </x:c>
      <x:c r="B46" s="36" t="n">
        <x:v>46117</x:v>
      </x:c>
      <x:c r="C46" s="13" t="str">
        <x:v>C116</x:v>
      </x:c>
      <x:c r="D46" s="13" t="str">
        <x:v>P004</x:v>
      </x:c>
      <x:c r="E46" s="13" t="str">
        <x:v>GTA West</x:v>
      </x:c>
      <x:c r="F46" s="13" t="str">
        <x:v>Morgan</x:v>
      </x:c>
      <x:c r="G46" s="13" t="n">
        <x:v>12</x:v>
      </x:c>
      <x:c r="H46" s="44" t="n">
        <x:v>23.21</x:v>
      </x:c>
      <x:c r="I46" s="38" t="n">
        <x:v>0</x:v>
      </x:c>
      <x:c r="J46" s="44" t="n">
        <x:v>278.52</x:v>
      </x:c>
      <x:c r="K46" s="13" t="str">
        <x:v>Pending</x:v>
      </x:c>
    </x:row>
    <x:row r="47">
      <x:c r="A47" s="13" t="str">
        <x:v>O0046</x:v>
      </x:c>
      <x:c r="B47" s="36" t="n">
        <x:v>46149</x:v>
      </x:c>
      <x:c r="C47" s="13" t="str">
        <x:v>C128</x:v>
      </x:c>
      <x:c r="D47" s="13" t="str">
        <x:v>P046</x:v>
      </x:c>
      <x:c r="E47" s="13" t="str">
        <x:v>GTA West</x:v>
      </x:c>
      <x:c r="F47" s="13" t="str">
        <x:v>Avery</x:v>
      </x:c>
      <x:c r="G47" s="13" t="n">
        <x:v>10</x:v>
      </x:c>
      <x:c r="H47" s="44" t="n">
        <x:v>15.24</x:v>
      </x:c>
      <x:c r="I47" s="38" t="n">
        <x:v>0.15</x:v>
      </x:c>
      <x:c r="J47" s="44" t="n">
        <x:v>129.54</x:v>
      </x:c>
      <x:c r="K47" s="13" t="str">
        <x:v>Completed</x:v>
      </x:c>
    </x:row>
    <x:row r="48">
      <x:c r="A48" s="13" t="str">
        <x:v>O0047</x:v>
      </x:c>
      <x:c r="B48" s="36" t="n">
        <x:v>46162</x:v>
      </x:c>
      <x:c r="C48" s="13" t="str">
        <x:v>C064</x:v>
      </x:c>
      <x:c r="D48" s="13" t="str">
        <x:v>P068</x:v>
      </x:c>
      <x:c r="E48" s="13" t="str">
        <x:v>Western Canada</x:v>
      </x:c>
      <x:c r="F48" s="13" t="str">
        <x:v>Taylor</x:v>
      </x:c>
      <x:c r="G48" s="13" t="n">
        <x:v>8</x:v>
      </x:c>
      <x:c r="H48" s="44" t="n">
        <x:v>50.69</x:v>
      </x:c>
      <x:c r="I48" s="38" t="n">
        <x:v>0</x:v>
      </x:c>
      <x:c r="J48" s="44" t="n">
        <x:v>405.52</x:v>
      </x:c>
      <x:c r="K48" s="13" t="str">
        <x:v>Completed</x:v>
      </x:c>
    </x:row>
    <x:row r="49">
      <x:c r="A49" s="13" t="str">
        <x:v>O0048</x:v>
      </x:c>
      <x:c r="B49" s="36" t="n">
        <x:v>46050</x:v>
      </x:c>
      <x:c r="C49" s="13" t="str">
        <x:v>C137</x:v>
      </x:c>
      <x:c r="D49" s="13" t="str">
        <x:v>P009</x:v>
      </x:c>
      <x:c r="E49" s="13" t="str">
        <x:v>Ottawa</x:v>
      </x:c>
      <x:c r="F49" s="13" t="str">
        <x:v>Morgan</x:v>
      </x:c>
      <x:c r="G49" s="13" t="n">
        <x:v>7</x:v>
      </x:c>
      <x:c r="H49" s="44" t="n">
        <x:v>29.42</x:v>
      </x:c>
      <x:c r="I49" s="38" t="n">
        <x:v>0</x:v>
      </x:c>
      <x:c r="J49" s="44" t="n">
        <x:v>205.94</x:v>
      </x:c>
      <x:c r="K49" s="13" t="str">
        <x:v>Pending</x:v>
      </x:c>
    </x:row>
    <x:row r="50">
      <x:c r="A50" s="13" t="str">
        <x:v>O0049</x:v>
      </x:c>
      <x:c r="B50" s="36" t="n">
        <x:v>46083</x:v>
      </x:c>
      <x:c r="C50" s="13" t="str">
        <x:v>C018</x:v>
      </x:c>
      <x:c r="D50" s="13" t="str">
        <x:v>P054</x:v>
      </x:c>
      <x:c r="E50" s="13" t="str">
        <x:v>Southwestern ON</x:v>
      </x:c>
      <x:c r="F50" s="13" t="str">
        <x:v>Avery</x:v>
      </x:c>
      <x:c r="G50" s="13" t="n">
        <x:v>11</x:v>
      </x:c>
      <x:c r="H50" s="44" t="n">
        <x:v>34.36</x:v>
      </x:c>
      <x:c r="I50" s="38" t="n">
        <x:v>0.05</x:v>
      </x:c>
      <x:c r="J50" s="44" t="n">
        <x:v>359.06</x:v>
      </x:c>
      <x:c r="K50" s="13" t="str">
        <x:v>Pending</x:v>
      </x:c>
    </x:row>
    <x:row r="51">
      <x:c r="A51" s="13" t="str">
        <x:v>O0050</x:v>
      </x:c>
      <x:c r="B51" s="36" t="n">
        <x:v>46264</x:v>
      </x:c>
      <x:c r="C51" s="13" t="str">
        <x:v>C140</x:v>
      </x:c>
      <x:c r="D51" s="13" t="str">
        <x:v>P014</x:v>
      </x:c>
      <x:c r="E51" s="13" t="str">
        <x:v>Western Canada</x:v>
      </x:c>
      <x:c r="F51" s="13" t="str">
        <x:v>Taylor</x:v>
      </x:c>
      <x:c r="G51" s="13" t="n">
        <x:v>12</x:v>
      </x:c>
      <x:c r="H51" s="44" t="n">
        <x:v>21.79</x:v>
      </x:c>
      <x:c r="I51" s="38" t="n">
        <x:v>0</x:v>
      </x:c>
      <x:c r="J51" s="44" t="n">
        <x:v>261.48</x:v>
      </x:c>
      <x:c r="K51" s="13" t="str">
        <x:v>Cancelled</x:v>
      </x:c>
    </x:row>
    <x:row r="52">
      <x:c r="A52" s="13" t="str">
        <x:v>O0051</x:v>
      </x:c>
      <x:c r="B52" s="36" t="n">
        <x:v>46125</x:v>
      </x:c>
      <x:c r="C52" s="13" t="str">
        <x:v>C085</x:v>
      </x:c>
      <x:c r="D52" s="13" t="str">
        <x:v>P025</x:v>
      </x:c>
      <x:c r="E52" s="13" t="str">
        <x:v>GTA West</x:v>
      </x:c>
      <x:c r="F52" s="13" t="str">
        <x:v>Casey</x:v>
      </x:c>
      <x:c r="G52" s="13" t="n">
        <x:v>4</x:v>
      </x:c>
      <x:c r="H52" s="44" t="n">
        <x:v>23.27</x:v>
      </x:c>
      <x:c r="I52" s="38" t="n">
        <x:v>0</x:v>
      </x:c>
      <x:c r="J52" s="44" t="n">
        <x:v>93.08</x:v>
      </x:c>
      <x:c r="K52" s="13" t="str">
        <x:v>Completed</x:v>
      </x:c>
    </x:row>
    <x:row r="53">
      <x:c r="A53" s="13" t="str">
        <x:v>O0052</x:v>
      </x:c>
      <x:c r="B53" s="36" t="n">
        <x:v>46203</x:v>
      </x:c>
      <x:c r="C53" s="13" t="str">
        <x:v>C048</x:v>
      </x:c>
      <x:c r="D53" s="13" t="str">
        <x:v>P044</x:v>
      </x:c>
      <x:c r="E53" s="13" t="str">
        <x:v>Southwestern ON</x:v>
      </x:c>
      <x:c r="F53" s="13" t="str">
        <x:v>Casey</x:v>
      </x:c>
      <x:c r="G53" s="13" t="n">
        <x:v>1</x:v>
      </x:c>
      <x:c r="H53" s="44" t="n">
        <x:v>24.3</x:v>
      </x:c>
      <x:c r="I53" s="38" t="n">
        <x:v>0.05</x:v>
      </x:c>
      <x:c r="J53" s="44" t="n">
        <x:v>23.09</x:v>
      </x:c>
      <x:c r="K53" s="13" t="str">
        <x:v>Completed</x:v>
      </x:c>
    </x:row>
    <x:row r="54">
      <x:c r="A54" s="13" t="str">
        <x:v>O0053</x:v>
      </x:c>
      <x:c r="B54" s="36" t="n">
        <x:v>46215</x:v>
      </x:c>
      <x:c r="C54" s="13" t="str">
        <x:v>C064</x:v>
      </x:c>
      <x:c r="D54" s="13" t="str">
        <x:v>P021</x:v>
      </x:c>
      <x:c r="E54" s="13" t="str">
        <x:v>Toronto</x:v>
      </x:c>
      <x:c r="F54" s="13" t="str">
        <x:v>Morgan</x:v>
      </x:c>
      <x:c r="G54" s="13" t="n">
        <x:v>1</x:v>
      </x:c>
      <x:c r="H54" s="44" t="n">
        <x:v>33.53</x:v>
      </x:c>
      <x:c r="I54" s="38" t="n">
        <x:v>0.05</x:v>
      </x:c>
      <x:c r="J54" s="44" t="n">
        <x:v>31.85</x:v>
      </x:c>
      <x:c r="K54" s="13" t="str">
        <x:v>Completed</x:v>
      </x:c>
    </x:row>
    <x:row r="55">
      <x:c r="A55" s="13" t="str">
        <x:v>O0054</x:v>
      </x:c>
      <x:c r="B55" s="36" t="n">
        <x:v>46122</x:v>
      </x:c>
      <x:c r="C55" s="13" t="str">
        <x:v>C050</x:v>
      </x:c>
      <x:c r="D55" s="13" t="str">
        <x:v>P024</x:v>
      </x:c>
      <x:c r="E55" s="13" t="str">
        <x:v>GTA West</x:v>
      </x:c>
      <x:c r="F55" s="13" t="str">
        <x:v>Riley</x:v>
      </x:c>
      <x:c r="G55" s="13" t="n">
        <x:v>11</x:v>
      </x:c>
      <x:c r="H55" s="44" t="n">
        <x:v>19.12</x:v>
      </x:c>
      <x:c r="I55" s="38" t="n">
        <x:v>0.1</x:v>
      </x:c>
      <x:c r="J55" s="44" t="n">
        <x:v>189.29</x:v>
      </x:c>
      <x:c r="K55" s="13" t="str">
        <x:v>Completed</x:v>
      </x:c>
    </x:row>
    <x:row r="56">
      <x:c r="A56" s="13" t="str">
        <x:v>O0055</x:v>
      </x:c>
      <x:c r="B56" s="36" t="n">
        <x:v>46118</x:v>
      </x:c>
      <x:c r="C56" s="13" t="str">
        <x:v>C121</x:v>
      </x:c>
      <x:c r="D56" s="13" t="str">
        <x:v>P042</x:v>
      </x:c>
      <x:c r="E56" s="13" t="str">
        <x:v>GTA West</x:v>
      </x:c>
      <x:c r="F56" s="13" t="str">
        <x:v>Taylor</x:v>
      </x:c>
      <x:c r="G56" s="13" t="n">
        <x:v>11</x:v>
      </x:c>
      <x:c r="H56" s="44" t="n">
        <x:v>26.28</x:v>
      </x:c>
      <x:c r="I56" s="38" t="n">
        <x:v>0.05</x:v>
      </x:c>
      <x:c r="J56" s="44" t="n">
        <x:v>274.63</x:v>
      </x:c>
      <x:c r="K56" s="13" t="str">
        <x:v>Pending</x:v>
      </x:c>
    </x:row>
    <x:row r="57">
      <x:c r="A57" s="13" t="str">
        <x:v>O0056</x:v>
      </x:c>
      <x:c r="B57" s="36" t="n">
        <x:v>46097</x:v>
      </x:c>
      <x:c r="C57" s="13" t="str">
        <x:v>C131</x:v>
      </x:c>
      <x:c r="D57" s="13" t="str">
        <x:v>P018</x:v>
      </x:c>
      <x:c r="E57" s="13" t="str">
        <x:v>Southwestern ON</x:v>
      </x:c>
      <x:c r="F57" s="13" t="str">
        <x:v>Taylor</x:v>
      </x:c>
      <x:c r="G57" s="13" t="n">
        <x:v>4</x:v>
      </x:c>
      <x:c r="H57" s="44" t="n">
        <x:v>19.54</x:v>
      </x:c>
      <x:c r="I57" s="38" t="n">
        <x:v>0.1</x:v>
      </x:c>
      <x:c r="J57" s="44" t="n">
        <x:v>70.34</x:v>
      </x:c>
      <x:c r="K57" s="13" t="str">
        <x:v>Completed</x:v>
      </x:c>
    </x:row>
    <x:row r="58">
      <x:c r="A58" s="13" t="str">
        <x:v>O0057</x:v>
      </x:c>
      <x:c r="B58" s="36" t="n">
        <x:v>46106</x:v>
      </x:c>
      <x:c r="C58" s="13" t="str">
        <x:v>C043</x:v>
      </x:c>
      <x:c r="D58" s="13" t="str">
        <x:v>P027</x:v>
      </x:c>
      <x:c r="E58" s="13" t="str">
        <x:v>Western Canada</x:v>
      </x:c>
      <x:c r="F58" s="13" t="str">
        <x:v>Jordan</x:v>
      </x:c>
      <x:c r="G58" s="13" t="n">
        <x:v>4</x:v>
      </x:c>
      <x:c r="H58" s="44" t="n">
        <x:v>22.33</x:v>
      </x:c>
      <x:c r="I58" s="38" t="n">
        <x:v>0.1</x:v>
      </x:c>
      <x:c r="J58" s="44" t="n">
        <x:v>80.39</x:v>
      </x:c>
      <x:c r="K58" s="13" t="str">
        <x:v>Pending</x:v>
      </x:c>
    </x:row>
    <x:row r="59">
      <x:c r="A59" s="13" t="str">
        <x:v>O0058</x:v>
      </x:c>
      <x:c r="B59" s="36" t="n">
        <x:v>46257</x:v>
      </x:c>
      <x:c r="C59" s="13" t="str">
        <x:v>C021</x:v>
      </x:c>
      <x:c r="D59" s="13" t="str">
        <x:v>P030</x:v>
      </x:c>
      <x:c r="E59" s="13" t="str">
        <x:v>Southwestern ON</x:v>
      </x:c>
      <x:c r="F59" s="13" t="str">
        <x:v>Jordan</x:v>
      </x:c>
      <x:c r="G59" s="13" t="n">
        <x:v>5</x:v>
      </x:c>
      <x:c r="H59" s="44" t="n">
        <x:v>10.76</x:v>
      </x:c>
      <x:c r="I59" s="38" t="n">
        <x:v>0</x:v>
      </x:c>
      <x:c r="J59" s="44" t="n">
        <x:v>53.8</x:v>
      </x:c>
      <x:c r="K59" s="13" t="str">
        <x:v>Completed</x:v>
      </x:c>
    </x:row>
    <x:row r="60">
      <x:c r="A60" s="13" t="str">
        <x:v>O0059</x:v>
      </x:c>
      <x:c r="B60" s="36" t="n">
        <x:v>46133</x:v>
      </x:c>
      <x:c r="C60" s="13" t="str">
        <x:v>C042</x:v>
      </x:c>
      <x:c r="D60" s="13" t="str">
        <x:v>P071</x:v>
      </x:c>
      <x:c r="E60" s="13" t="str">
        <x:v>Western Canada</x:v>
      </x:c>
      <x:c r="F60" s="13" t="str">
        <x:v>Taylor</x:v>
      </x:c>
      <x:c r="G60" s="13" t="n">
        <x:v>12</x:v>
      </x:c>
      <x:c r="H60" s="44" t="n">
        <x:v>66.69</x:v>
      </x:c>
      <x:c r="I60" s="38" t="n">
        <x:v>0.05</x:v>
      </x:c>
      <x:c r="J60" s="44" t="n">
        <x:v>760.27</x:v>
      </x:c>
      <x:c r="K60" s="13" t="str">
        <x:v>Completed</x:v>
      </x:c>
    </x:row>
    <x:row r="61">
      <x:c r="A61" s="13" t="str">
        <x:v>O0060</x:v>
      </x:c>
      <x:c r="B61" s="36" t="n">
        <x:v>46092</x:v>
      </x:c>
      <x:c r="C61" s="13" t="str">
        <x:v>C077</x:v>
      </x:c>
      <x:c r="D61" s="13" t="str">
        <x:v>P009</x:v>
      </x:c>
      <x:c r="E61" s="13" t="str">
        <x:v>Western Canada</x:v>
      </x:c>
      <x:c r="F61" s="13" t="str">
        <x:v>Jordan</x:v>
      </x:c>
      <x:c r="G61" s="13" t="n">
        <x:v>7</x:v>
      </x:c>
      <x:c r="H61" s="44" t="n">
        <x:v>29.42</x:v>
      </x:c>
      <x:c r="I61" s="38" t="n">
        <x:v>0.15</x:v>
      </x:c>
      <x:c r="J61" s="44" t="n">
        <x:v>175.05</x:v>
      </x:c>
      <x:c r="K61" s="13" t="str">
        <x:v>Completed</x:v>
      </x:c>
    </x:row>
    <x:row r="62">
      <x:c r="A62" s="13" t="str">
        <x:v>O0061</x:v>
      </x:c>
      <x:c r="B62" s="36" t="n">
        <x:v>46037</x:v>
      </x:c>
      <x:c r="C62" s="13" t="str">
        <x:v>C131</x:v>
      </x:c>
      <x:c r="D62" s="13" t="str">
        <x:v>P043</x:v>
      </x:c>
      <x:c r="E62" s="13" t="str">
        <x:v>Southwestern ON</x:v>
      </x:c>
      <x:c r="F62" s="13" t="str">
        <x:v>Avery</x:v>
      </x:c>
      <x:c r="G62" s="13" t="n">
        <x:v>10</x:v>
      </x:c>
      <x:c r="H62" s="44" t="n">
        <x:v>38.14</x:v>
      </x:c>
      <x:c r="I62" s="38" t="n">
        <x:v>0</x:v>
      </x:c>
      <x:c r="J62" s="44" t="n">
        <x:v>381.4</x:v>
      </x:c>
      <x:c r="K62" s="13" t="str">
        <x:v>Completed</x:v>
      </x:c>
    </x:row>
    <x:row r="63">
      <x:c r="A63" s="13" t="str">
        <x:v>O0062</x:v>
      </x:c>
      <x:c r="B63" s="36" t="n">
        <x:v>46081</x:v>
      </x:c>
      <x:c r="C63" s="13" t="str">
        <x:v>C100</x:v>
      </x:c>
      <x:c r="D63" s="13" t="str">
        <x:v>P002</x:v>
      </x:c>
      <x:c r="E63" s="13" t="str">
        <x:v>Southwestern ON</x:v>
      </x:c>
      <x:c r="F63" s="13" t="str">
        <x:v>Casey</x:v>
      </x:c>
      <x:c r="G63" s="13" t="n">
        <x:v>2</x:v>
      </x:c>
      <x:c r="H63" s="44" t="n">
        <x:v>32.04</x:v>
      </x:c>
      <x:c r="I63" s="38" t="n">
        <x:v>0</x:v>
      </x:c>
      <x:c r="J63" s="44" t="n">
        <x:v>64.08</x:v>
      </x:c>
      <x:c r="K63" s="13" t="str">
        <x:v>Pending</x:v>
      </x:c>
    </x:row>
    <x:row r="64">
      <x:c r="A64" s="13" t="str">
        <x:v>O0063</x:v>
      </x:c>
      <x:c r="B64" s="36" t="n">
        <x:v>46215</x:v>
      </x:c>
      <x:c r="C64" s="13" t="str">
        <x:v>C134</x:v>
      </x:c>
      <x:c r="D64" s="13" t="str">
        <x:v>P038</x:v>
      </x:c>
      <x:c r="E64" s="13" t="str">
        <x:v>Southwestern ON</x:v>
      </x:c>
      <x:c r="F64" s="13" t="str">
        <x:v>Jordan</x:v>
      </x:c>
      <x:c r="G64" s="13" t="n">
        <x:v>5</x:v>
      </x:c>
      <x:c r="H64" s="44" t="n">
        <x:v>30.26</x:v>
      </x:c>
      <x:c r="I64" s="38" t="n">
        <x:v>0</x:v>
      </x:c>
      <x:c r="J64" s="44" t="n">
        <x:v>151.3</x:v>
      </x:c>
      <x:c r="K64" s="13" t="str">
        <x:v>Pending</x:v>
      </x:c>
    </x:row>
    <x:row r="65">
      <x:c r="A65" s="13" t="str">
        <x:v>O0064</x:v>
      </x:c>
      <x:c r="B65" s="36" t="n">
        <x:v>46026</x:v>
      </x:c>
      <x:c r="C65" s="13" t="str">
        <x:v>C037</x:v>
      </x:c>
      <x:c r="D65" s="13" t="str">
        <x:v>P039</x:v>
      </x:c>
      <x:c r="E65" s="13" t="str">
        <x:v>GTA West</x:v>
      </x:c>
      <x:c r="F65" s="13" t="str">
        <x:v>Jordan</x:v>
      </x:c>
      <x:c r="G65" s="13" t="n">
        <x:v>7</x:v>
      </x:c>
      <x:c r="H65" s="44" t="n">
        <x:v>14.42</x:v>
      </x:c>
      <x:c r="I65" s="38" t="n">
        <x:v>0.1</x:v>
      </x:c>
      <x:c r="J65" s="44" t="n">
        <x:v>90.85</x:v>
      </x:c>
      <x:c r="K65" s="13" t="str">
        <x:v>Pending</x:v>
      </x:c>
    </x:row>
    <x:row r="66">
      <x:c r="A66" s="13" t="str">
        <x:v>O0065</x:v>
      </x:c>
      <x:c r="B66" s="36" t="n">
        <x:v>46254</x:v>
      </x:c>
      <x:c r="C66" s="13" t="str">
        <x:v>C002</x:v>
      </x:c>
      <x:c r="D66" s="13" t="str">
        <x:v>P054</x:v>
      </x:c>
      <x:c r="E66" s="13" t="str">
        <x:v>Toronto</x:v>
      </x:c>
      <x:c r="F66" s="13" t="str">
        <x:v>Avery</x:v>
      </x:c>
      <x:c r="G66" s="13" t="n">
        <x:v>11</x:v>
      </x:c>
      <x:c r="H66" s="44" t="n">
        <x:v>34.36</x:v>
      </x:c>
      <x:c r="I66" s="38" t="n">
        <x:v>0</x:v>
      </x:c>
      <x:c r="J66" s="44" t="n">
        <x:v>377.96</x:v>
      </x:c>
      <x:c r="K66" s="13" t="str">
        <x:v>Completed</x:v>
      </x:c>
    </x:row>
    <x:row r="67">
      <x:c r="A67" s="13" t="str">
        <x:v>O0066</x:v>
      </x:c>
      <x:c r="B67" s="36" t="n">
        <x:v>46101</x:v>
      </x:c>
      <x:c r="C67" s="13" t="str">
        <x:v>C118</x:v>
      </x:c>
      <x:c r="D67" s="13" t="str">
        <x:v>P034</x:v>
      </x:c>
      <x:c r="E67" s="13" t="str">
        <x:v>Toronto</x:v>
      </x:c>
      <x:c r="F67" s="13" t="str">
        <x:v>Jordan</x:v>
      </x:c>
      <x:c r="G67" s="13" t="n">
        <x:v>5</x:v>
      </x:c>
      <x:c r="H67" s="44" t="n">
        <x:v>14.68</x:v>
      </x:c>
      <x:c r="I67" s="38" t="n">
        <x:v>0.1</x:v>
      </x:c>
      <x:c r="J67" s="44" t="n">
        <x:v>66.06</x:v>
      </x:c>
      <x:c r="K67" s="13" t="str">
        <x:v>Completed</x:v>
      </x:c>
    </x:row>
    <x:row r="68">
      <x:c r="A68" s="13" t="str">
        <x:v>O0067</x:v>
      </x:c>
      <x:c r="B68" s="36" t="n">
        <x:v>46028</x:v>
      </x:c>
      <x:c r="C68" s="13" t="str">
        <x:v>C131</x:v>
      </x:c>
      <x:c r="D68" s="13" t="str">
        <x:v>P047</x:v>
      </x:c>
      <x:c r="E68" s="13" t="str">
        <x:v>Ottawa</x:v>
      </x:c>
      <x:c r="F68" s="13" t="str">
        <x:v>Riley</x:v>
      </x:c>
      <x:c r="G68" s="13" t="n">
        <x:v>12</x:v>
      </x:c>
      <x:c r="H68" s="44" t="n">
        <x:v>30.55</x:v>
      </x:c>
      <x:c r="I68" s="38" t="n">
        <x:v>0.05</x:v>
      </x:c>
      <x:c r="J68" s="44" t="n">
        <x:v>348.27</x:v>
      </x:c>
      <x:c r="K68" s="13" t="str">
        <x:v>Completed</x:v>
      </x:c>
    </x:row>
    <x:row r="69">
      <x:c r="A69" s="13" t="str">
        <x:v>O0068</x:v>
      </x:c>
      <x:c r="B69" s="36" t="n">
        <x:v>46047</x:v>
      </x:c>
      <x:c r="C69" s="13" t="str">
        <x:v>C122</x:v>
      </x:c>
      <x:c r="D69" s="13" t="str">
        <x:v>P049</x:v>
      </x:c>
      <x:c r="E69" s="13" t="str">
        <x:v>Western Canada</x:v>
      </x:c>
      <x:c r="F69" s="13" t="str">
        <x:v>Morgan</x:v>
      </x:c>
      <x:c r="G69" s="13" t="n">
        <x:v>3</x:v>
      </x:c>
      <x:c r="H69" s="44" t="n">
        <x:v>28.04</x:v>
      </x:c>
      <x:c r="I69" s="38" t="n">
        <x:v>0</x:v>
      </x:c>
      <x:c r="J69" s="44" t="n">
        <x:v>84.12</x:v>
      </x:c>
      <x:c r="K69" s="13" t="str">
        <x:v>Completed</x:v>
      </x:c>
    </x:row>
    <x:row r="70">
      <x:c r="A70" s="13" t="str">
        <x:v>O0069</x:v>
      </x:c>
      <x:c r="B70" s="36" t="n">
        <x:v>46026</x:v>
      </x:c>
      <x:c r="C70" s="13" t="str">
        <x:v>C065</x:v>
      </x:c>
      <x:c r="D70" s="13" t="str">
        <x:v>P034</x:v>
      </x:c>
      <x:c r="E70" s="13" t="str">
        <x:v>Toronto</x:v>
      </x:c>
      <x:c r="F70" s="13" t="str">
        <x:v>Jordan</x:v>
      </x:c>
      <x:c r="G70" s="13" t="n">
        <x:v>11</x:v>
      </x:c>
      <x:c r="H70" s="44" t="n">
        <x:v>14.68</x:v>
      </x:c>
      <x:c r="I70" s="38" t="n">
        <x:v>0</x:v>
      </x:c>
      <x:c r="J70" s="44" t="n">
        <x:v>161.48</x:v>
      </x:c>
      <x:c r="K70" s="13" t="str">
        <x:v>Completed</x:v>
      </x:c>
    </x:row>
    <x:row r="71">
      <x:c r="A71" s="13" t="str">
        <x:v>O0070</x:v>
      </x:c>
      <x:c r="B71" s="36" t="n">
        <x:v>46118</x:v>
      </x:c>
      <x:c r="C71" s="13" t="str">
        <x:v>C140</x:v>
      </x:c>
      <x:c r="D71" s="13" t="str">
        <x:v>P065</x:v>
      </x:c>
      <x:c r="E71" s="13" t="str">
        <x:v>Ottawa</x:v>
      </x:c>
      <x:c r="F71" s="13" t="str">
        <x:v>Morgan</x:v>
      </x:c>
      <x:c r="G71" s="13" t="n">
        <x:v>10</x:v>
      </x:c>
      <x:c r="H71" s="44" t="n">
        <x:v>31.76</x:v>
      </x:c>
      <x:c r="I71" s="38" t="n">
        <x:v>0.05</x:v>
      </x:c>
      <x:c r="J71" s="44" t="n">
        <x:v>301.72</x:v>
      </x:c>
      <x:c r="K71" s="13" t="str">
        <x:v>Completed</x:v>
      </x:c>
    </x:row>
    <x:row r="72">
      <x:c r="A72" s="13" t="str">
        <x:v>O0071</x:v>
      </x:c>
      <x:c r="B72" s="36" t="n">
        <x:v>46058</x:v>
      </x:c>
      <x:c r="C72" s="13" t="str">
        <x:v>C094</x:v>
      </x:c>
      <x:c r="D72" s="13" t="str">
        <x:v>P046</x:v>
      </x:c>
      <x:c r="E72" s="13" t="str">
        <x:v>Toronto</x:v>
      </x:c>
      <x:c r="F72" s="13" t="str">
        <x:v>Jordan</x:v>
      </x:c>
      <x:c r="G72" s="13" t="n">
        <x:v>5</x:v>
      </x:c>
      <x:c r="H72" s="44" t="n">
        <x:v>15.24</x:v>
      </x:c>
      <x:c r="I72" s="38" t="n">
        <x:v>0</x:v>
      </x:c>
      <x:c r="J72" s="44" t="n">
        <x:v>76.2</x:v>
      </x:c>
      <x:c r="K72" s="13" t="str">
        <x:v>Completed</x:v>
      </x:c>
    </x:row>
    <x:row r="73">
      <x:c r="A73" s="13" t="str">
        <x:v>O0072</x:v>
      </x:c>
      <x:c r="B73" s="36" t="n">
        <x:v>46191</x:v>
      </x:c>
      <x:c r="C73" s="13" t="str">
        <x:v>C091</x:v>
      </x:c>
      <x:c r="D73" s="13" t="str">
        <x:v>P058</x:v>
      </x:c>
      <x:c r="E73" s="13" t="str">
        <x:v>Southwestern ON</x:v>
      </x:c>
      <x:c r="F73" s="13" t="str">
        <x:v>Jordan</x:v>
      </x:c>
      <x:c r="G73" s="13" t="n">
        <x:v>10</x:v>
      </x:c>
      <x:c r="H73" s="44" t="n">
        <x:v>36.09</x:v>
      </x:c>
      <x:c r="I73" s="38" t="n">
        <x:v>0.15</x:v>
      </x:c>
      <x:c r="J73" s="44" t="n">
        <x:v>306.77</x:v>
      </x:c>
      <x:c r="K73" s="13" t="str">
        <x:v>Completed</x:v>
      </x:c>
    </x:row>
    <x:row r="74">
      <x:c r="A74" s="13" t="str">
        <x:v>O0073</x:v>
      </x:c>
      <x:c r="B74" s="36" t="n">
        <x:v>46255</x:v>
      </x:c>
      <x:c r="C74" s="13" t="str">
        <x:v>C107</x:v>
      </x:c>
      <x:c r="D74" s="13" t="str">
        <x:v>P026</x:v>
      </x:c>
      <x:c r="E74" s="13" t="str">
        <x:v>Ottawa</x:v>
      </x:c>
      <x:c r="F74" s="13" t="str">
        <x:v>Morgan</x:v>
      </x:c>
      <x:c r="G74" s="13" t="n">
        <x:v>10</x:v>
      </x:c>
      <x:c r="H74" s="44" t="n">
        <x:v>22.79</x:v>
      </x:c>
      <x:c r="I74" s="38" t="n">
        <x:v>0.05</x:v>
      </x:c>
      <x:c r="J74" s="44" t="n">
        <x:v>216.5</x:v>
      </x:c>
      <x:c r="K74" s="13" t="str">
        <x:v>Completed</x:v>
      </x:c>
    </x:row>
    <x:row r="75">
      <x:c r="A75" s="13" t="str">
        <x:v>O0074</x:v>
      </x:c>
      <x:c r="B75" s="36" t="n">
        <x:v>46233</x:v>
      </x:c>
      <x:c r="C75" s="13" t="str">
        <x:v>C106</x:v>
      </x:c>
      <x:c r="D75" s="13" t="str">
        <x:v>P064</x:v>
      </x:c>
      <x:c r="E75" s="13" t="str">
        <x:v>Southwestern ON</x:v>
      </x:c>
      <x:c r="F75" s="13" t="str">
        <x:v>Riley</x:v>
      </x:c>
      <x:c r="G75" s="13" t="n">
        <x:v>12</x:v>
      </x:c>
      <x:c r="H75" s="44" t="n">
        <x:v>36.07</x:v>
      </x:c>
      <x:c r="I75" s="38" t="n">
        <x:v>0</x:v>
      </x:c>
      <x:c r="J75" s="44" t="n">
        <x:v>432.84</x:v>
      </x:c>
      <x:c r="K75" s="13" t="str">
        <x:v>Completed</x:v>
      </x:c>
    </x:row>
    <x:row r="76">
      <x:c r="A76" s="13" t="str">
        <x:v>O0075</x:v>
      </x:c>
      <x:c r="B76" s="36" t="n">
        <x:v>46029</x:v>
      </x:c>
      <x:c r="C76" s="13" t="str">
        <x:v>C089</x:v>
      </x:c>
      <x:c r="D76" s="13" t="str">
        <x:v>P065</x:v>
      </x:c>
      <x:c r="E76" s="13" t="str">
        <x:v>GTA West</x:v>
      </x:c>
      <x:c r="F76" s="13" t="str">
        <x:v>Taylor</x:v>
      </x:c>
      <x:c r="G76" s="13" t="n">
        <x:v>6</x:v>
      </x:c>
      <x:c r="H76" s="44" t="n">
        <x:v>31.76</x:v>
      </x:c>
      <x:c r="I76" s="38" t="n">
        <x:v>0</x:v>
      </x:c>
      <x:c r="J76" s="44" t="n">
        <x:v>190.56</x:v>
      </x:c>
      <x:c r="K76" s="13" t="str">
        <x:v>Pending</x:v>
      </x:c>
    </x:row>
    <x:row r="77">
      <x:c r="A77" s="13" t="str">
        <x:v>O0076</x:v>
      </x:c>
      <x:c r="B77" s="36" t="n">
        <x:v>46246</x:v>
      </x:c>
      <x:c r="C77" s="13" t="str">
        <x:v>C002</x:v>
      </x:c>
      <x:c r="D77" s="13" t="str">
        <x:v>P016</x:v>
      </x:c>
      <x:c r="E77" s="13" t="str">
        <x:v>GTA West</x:v>
      </x:c>
      <x:c r="F77" s="13" t="str">
        <x:v>Morgan</x:v>
      </x:c>
      <x:c r="G77" s="13" t="n">
        <x:v>11</x:v>
      </x:c>
      <x:c r="H77" s="44" t="n">
        <x:v>23.5</x:v>
      </x:c>
      <x:c r="I77" s="38" t="n">
        <x:v>0</x:v>
      </x:c>
      <x:c r="J77" s="44" t="n">
        <x:v>258.5</x:v>
      </x:c>
      <x:c r="K77" s="13" t="str">
        <x:v>Cancelled</x:v>
      </x:c>
    </x:row>
    <x:row r="78">
      <x:c r="A78" s="13" t="str">
        <x:v>O0077</x:v>
      </x:c>
      <x:c r="B78" s="36" t="n">
        <x:v>46166</x:v>
      </x:c>
      <x:c r="C78" s="13" t="str">
        <x:v>C050</x:v>
      </x:c>
      <x:c r="D78" s="13" t="str">
        <x:v>P015</x:v>
      </x:c>
      <x:c r="E78" s="13" t="str">
        <x:v>GTA West</x:v>
      </x:c>
      <x:c r="F78" s="13" t="str">
        <x:v>Taylor</x:v>
      </x:c>
      <x:c r="G78" s="13" t="n">
        <x:v>2</x:v>
      </x:c>
      <x:c r="H78" s="44" t="n">
        <x:v>34.36</x:v>
      </x:c>
      <x:c r="I78" s="38" t="n">
        <x:v>0.1</x:v>
      </x:c>
      <x:c r="J78" s="44" t="n">
        <x:v>61.85</x:v>
      </x:c>
      <x:c r="K78" s="13" t="str">
        <x:v>Completed</x:v>
      </x:c>
    </x:row>
    <x:row r="79">
      <x:c r="A79" s="13" t="str">
        <x:v>O0078</x:v>
      </x:c>
      <x:c r="B79" s="36" t="n">
        <x:v>46176</x:v>
      </x:c>
      <x:c r="C79" s="13" t="str">
        <x:v>C029</x:v>
      </x:c>
      <x:c r="D79" s="13" t="str">
        <x:v>P039</x:v>
      </x:c>
      <x:c r="E79" s="13" t="str">
        <x:v>Toronto</x:v>
      </x:c>
      <x:c r="F79" s="13" t="str">
        <x:v>Morgan</x:v>
      </x:c>
      <x:c r="G79" s="13" t="n">
        <x:v>12</x:v>
      </x:c>
      <x:c r="H79" s="44" t="n">
        <x:v>14.42</x:v>
      </x:c>
      <x:c r="I79" s="38" t="n">
        <x:v>0</x:v>
      </x:c>
      <x:c r="J79" s="44" t="n">
        <x:v>173.04</x:v>
      </x:c>
      <x:c r="K79" s="13" t="str">
        <x:v>Completed</x:v>
      </x:c>
    </x:row>
    <x:row r="80">
      <x:c r="A80" s="13" t="str">
        <x:v>O0079</x:v>
      </x:c>
      <x:c r="B80" s="36" t="n">
        <x:v>46206</x:v>
      </x:c>
      <x:c r="C80" s="13" t="str">
        <x:v>C091</x:v>
      </x:c>
      <x:c r="D80" s="13" t="str">
        <x:v>P011</x:v>
      </x:c>
      <x:c r="E80" s="13" t="str">
        <x:v>Ottawa</x:v>
      </x:c>
      <x:c r="F80" s="13" t="str">
        <x:v>Avery</x:v>
      </x:c>
      <x:c r="G80" s="13" t="n">
        <x:v>10</x:v>
      </x:c>
      <x:c r="H80" s="44" t="n">
        <x:v>32.78</x:v>
      </x:c>
      <x:c r="I80" s="38" t="n">
        <x:v>0.1</x:v>
      </x:c>
      <x:c r="J80" s="44" t="n">
        <x:v>295.02</x:v>
      </x:c>
      <x:c r="K80" s="13" t="str">
        <x:v>Completed</x:v>
      </x:c>
    </x:row>
    <x:row r="81">
      <x:c r="A81" s="13" t="str">
        <x:v>O0080</x:v>
      </x:c>
      <x:c r="B81" s="36" t="n">
        <x:v>46177</x:v>
      </x:c>
      <x:c r="C81" s="13" t="str">
        <x:v>C116</x:v>
      </x:c>
      <x:c r="D81" s="13" t="str">
        <x:v>P064</x:v>
      </x:c>
      <x:c r="E81" s="13" t="str">
        <x:v>Ottawa</x:v>
      </x:c>
      <x:c r="F81" s="13" t="str">
        <x:v>Casey</x:v>
      </x:c>
      <x:c r="G81" s="13" t="n">
        <x:v>8</x:v>
      </x:c>
      <x:c r="H81" s="44" t="n">
        <x:v>36.07</x:v>
      </x:c>
      <x:c r="I81" s="38" t="n">
        <x:v>0</x:v>
      </x:c>
      <x:c r="J81" s="44" t="n">
        <x:v>288.56</x:v>
      </x:c>
      <x:c r="K81" s="13" t="str">
        <x:v>Completed</x:v>
      </x:c>
    </x:row>
    <x:row r="82">
      <x:c r="A82" s="13" t="str">
        <x:v>O0081</x:v>
      </x:c>
      <x:c r="B82" s="36" t="n">
        <x:v>46157</x:v>
      </x:c>
      <x:c r="C82" s="13" t="str">
        <x:v>C015</x:v>
      </x:c>
      <x:c r="D82" s="13" t="str">
        <x:v>P054</x:v>
      </x:c>
      <x:c r="E82" s="13" t="str">
        <x:v>Southwestern ON</x:v>
      </x:c>
      <x:c r="F82" s="13" t="str">
        <x:v>Jordan</x:v>
      </x:c>
      <x:c r="G82" s="13" t="n">
        <x:v>10</x:v>
      </x:c>
      <x:c r="H82" s="44" t="n">
        <x:v>34.36</x:v>
      </x:c>
      <x:c r="I82" s="38" t="n">
        <x:v>0.1</x:v>
      </x:c>
      <x:c r="J82" s="44" t="n">
        <x:v>309.24</x:v>
      </x:c>
      <x:c r="K82" s="13" t="str">
        <x:v>Completed</x:v>
      </x:c>
    </x:row>
    <x:row r="83">
      <x:c r="A83" s="13" t="str">
        <x:v>O0082</x:v>
      </x:c>
      <x:c r="B83" s="36" t="n">
        <x:v>46099</x:v>
      </x:c>
      <x:c r="C83" s="13" t="str">
        <x:v>C082</x:v>
      </x:c>
      <x:c r="D83" s="13" t="str">
        <x:v>P007</x:v>
      </x:c>
      <x:c r="E83" s="13" t="str">
        <x:v>Western Canada</x:v>
      </x:c>
      <x:c r="F83" s="13" t="str">
        <x:v>Taylor</x:v>
      </x:c>
      <x:c r="G83" s="13" t="n">
        <x:v>12</x:v>
      </x:c>
      <x:c r="H83" s="44" t="n">
        <x:v>31.23</x:v>
      </x:c>
      <x:c r="I83" s="38" t="n">
        <x:v>0.05</x:v>
      </x:c>
      <x:c r="J83" s="44" t="n">
        <x:v>356.02</x:v>
      </x:c>
      <x:c r="K83" s="13" t="str">
        <x:v>Pending</x:v>
      </x:c>
    </x:row>
    <x:row r="84">
      <x:c r="A84" s="13" t="str">
        <x:v>O0083</x:v>
      </x:c>
      <x:c r="B84" s="36" t="n">
        <x:v>46215</x:v>
      </x:c>
      <x:c r="C84" s="13" t="str">
        <x:v>C001</x:v>
      </x:c>
      <x:c r="D84" s="13" t="str">
        <x:v>P035</x:v>
      </x:c>
      <x:c r="E84" s="13" t="str">
        <x:v>Southwestern ON</x:v>
      </x:c>
      <x:c r="F84" s="13" t="str">
        <x:v>Taylor</x:v>
      </x:c>
      <x:c r="G84" s="13" t="n">
        <x:v>12</x:v>
      </x:c>
      <x:c r="H84" s="44" t="n">
        <x:v>18.09</x:v>
      </x:c>
      <x:c r="I84" s="38" t="n">
        <x:v>0.1</x:v>
      </x:c>
      <x:c r="J84" s="44" t="n">
        <x:v>195.37</x:v>
      </x:c>
      <x:c r="K84" s="13" t="str">
        <x:v>Completed</x:v>
      </x:c>
    </x:row>
    <x:row r="85">
      <x:c r="A85" s="13" t="str">
        <x:v>O0084</x:v>
      </x:c>
      <x:c r="B85" s="36" t="n">
        <x:v>46207</x:v>
      </x:c>
      <x:c r="C85" s="13" t="str">
        <x:v>C083</x:v>
      </x:c>
      <x:c r="D85" s="13" t="str">
        <x:v>P067</x:v>
      </x:c>
      <x:c r="E85" s="13" t="str">
        <x:v>Toronto</x:v>
      </x:c>
      <x:c r="F85" s="13" t="str">
        <x:v>Morgan</x:v>
      </x:c>
      <x:c r="G85" s="13" t="n">
        <x:v>5</x:v>
      </x:c>
      <x:c r="H85" s="44" t="n">
        <x:v>39.47</x:v>
      </x:c>
      <x:c r="I85" s="38" t="n">
        <x:v>0</x:v>
      </x:c>
      <x:c r="J85" s="44" t="n">
        <x:v>197.35</x:v>
      </x:c>
      <x:c r="K85" s="13" t="str">
        <x:v>Pending</x:v>
      </x:c>
    </x:row>
    <x:row r="86">
      <x:c r="A86" s="13" t="str">
        <x:v>O0085</x:v>
      </x:c>
      <x:c r="B86" s="36" t="n">
        <x:v>46217</x:v>
      </x:c>
      <x:c r="C86" s="13" t="str">
        <x:v>C084</x:v>
      </x:c>
      <x:c r="D86" s="13" t="str">
        <x:v>P073</x:v>
      </x:c>
      <x:c r="E86" s="13" t="str">
        <x:v>Toronto</x:v>
      </x:c>
      <x:c r="F86" s="13" t="str">
        <x:v>Riley</x:v>
      </x:c>
      <x:c r="G86" s="13" t="n">
        <x:v>9</x:v>
      </x:c>
      <x:c r="H86" s="44" t="n">
        <x:v>78.14</x:v>
      </x:c>
      <x:c r="I86" s="38" t="n">
        <x:v>0</x:v>
      </x:c>
      <x:c r="J86" s="44" t="n">
        <x:v>703.26</x:v>
      </x:c>
      <x:c r="K86" s="13" t="str">
        <x:v>Pending</x:v>
      </x:c>
    </x:row>
    <x:row r="87">
      <x:c r="A87" s="13" t="str">
        <x:v>O0086</x:v>
      </x:c>
      <x:c r="B87" s="36" t="n">
        <x:v>46109</x:v>
      </x:c>
      <x:c r="C87" s="13" t="str">
        <x:v>C096</x:v>
      </x:c>
      <x:c r="D87" s="13" t="str">
        <x:v>P071</x:v>
      </x:c>
      <x:c r="E87" s="13" t="str">
        <x:v>Toronto</x:v>
      </x:c>
      <x:c r="F87" s="13" t="str">
        <x:v>Jordan</x:v>
      </x:c>
      <x:c r="G87" s="13" t="n">
        <x:v>1</x:v>
      </x:c>
      <x:c r="H87" s="44" t="n">
        <x:v>66.69</x:v>
      </x:c>
      <x:c r="I87" s="38" t="n">
        <x:v>0</x:v>
      </x:c>
      <x:c r="J87" s="44" t="n">
        <x:v>66.69</x:v>
      </x:c>
      <x:c r="K87" s="13" t="str">
        <x:v>Cancelled</x:v>
      </x:c>
    </x:row>
    <x:row r="88">
      <x:c r="A88" s="13" t="str">
        <x:v>O0087</x:v>
      </x:c>
      <x:c r="B88" s="36" t="n">
        <x:v>46225</x:v>
      </x:c>
      <x:c r="C88" s="13" t="str">
        <x:v>C070</x:v>
      </x:c>
      <x:c r="D88" s="13" t="str">
        <x:v>P055</x:v>
      </x:c>
      <x:c r="E88" s="13" t="str">
        <x:v>Western Canada</x:v>
      </x:c>
      <x:c r="F88" s="13" t="str">
        <x:v>Avery</x:v>
      </x:c>
      <x:c r="G88" s="13" t="n">
        <x:v>1</x:v>
      </x:c>
      <x:c r="H88" s="44" t="n">
        <x:v>30.71</x:v>
      </x:c>
      <x:c r="I88" s="38" t="n">
        <x:v>0</x:v>
      </x:c>
      <x:c r="J88" s="44" t="n">
        <x:v>30.71</x:v>
      </x:c>
      <x:c r="K88" s="13" t="str">
        <x:v>Completed</x:v>
      </x:c>
    </x:row>
    <x:row r="89">
      <x:c r="A89" s="13" t="str">
        <x:v>O0088</x:v>
      </x:c>
      <x:c r="B89" s="36" t="n">
        <x:v>46049</x:v>
      </x:c>
      <x:c r="C89" s="13" t="str">
        <x:v>C067</x:v>
      </x:c>
      <x:c r="D89" s="13" t="str">
        <x:v>P009</x:v>
      </x:c>
      <x:c r="E89" s="13" t="str">
        <x:v>Western Canada</x:v>
      </x:c>
      <x:c r="F89" s="13" t="str">
        <x:v>Riley</x:v>
      </x:c>
      <x:c r="G89" s="13" t="n">
        <x:v>7</x:v>
      </x:c>
      <x:c r="H89" s="44" t="n">
        <x:v>29.42</x:v>
      </x:c>
      <x:c r="I89" s="38" t="n">
        <x:v>0.1</x:v>
      </x:c>
      <x:c r="J89" s="44" t="n">
        <x:v>185.35</x:v>
      </x:c>
      <x:c r="K89" s="13" t="str">
        <x:v>Completed</x:v>
      </x:c>
    </x:row>
    <x:row r="90">
      <x:c r="A90" s="13" t="str">
        <x:v>O0089</x:v>
      </x:c>
      <x:c r="B90" s="36" t="n">
        <x:v>46197</x:v>
      </x:c>
      <x:c r="C90" s="13" t="str">
        <x:v>C042</x:v>
      </x:c>
      <x:c r="D90" s="13" t="str">
        <x:v>P052</x:v>
      </x:c>
      <x:c r="E90" s="13" t="str">
        <x:v>Southwestern ON</x:v>
      </x:c>
      <x:c r="F90" s="13" t="str">
        <x:v>Taylor</x:v>
      </x:c>
      <x:c r="G90" s="13" t="n">
        <x:v>7</x:v>
      </x:c>
      <x:c r="H90" s="44" t="n">
        <x:v>22.35</x:v>
      </x:c>
      <x:c r="I90" s="38" t="n">
        <x:v>0.05</x:v>
      </x:c>
      <x:c r="J90" s="44" t="n">
        <x:v>148.63</x:v>
      </x:c>
      <x:c r="K90" s="13" t="str">
        <x:v>Pending</x:v>
      </x:c>
    </x:row>
    <x:row r="91">
      <x:c r="A91" s="13" t="str">
        <x:v>O0090</x:v>
      </x:c>
      <x:c r="B91" s="36" t="n">
        <x:v>46201</x:v>
      </x:c>
      <x:c r="C91" s="13" t="str">
        <x:v>C034</x:v>
      </x:c>
      <x:c r="D91" s="13" t="str">
        <x:v>P031</x:v>
      </x:c>
      <x:c r="E91" s="13" t="str">
        <x:v>GTA West</x:v>
      </x:c>
      <x:c r="F91" s="13" t="str">
        <x:v>Avery</x:v>
      </x:c>
      <x:c r="G91" s="13" t="n">
        <x:v>6</x:v>
      </x:c>
      <x:c r="H91" s="44" t="n">
        <x:v>26.62</x:v>
      </x:c>
      <x:c r="I91" s="38" t="n">
        <x:v>0.15</x:v>
      </x:c>
      <x:c r="J91" s="44" t="n">
        <x:v>135.76</x:v>
      </x:c>
      <x:c r="K91" s="13" t="str">
        <x:v>Completed</x:v>
      </x:c>
    </x:row>
    <x:row r="92">
      <x:c r="A92" s="13" t="str">
        <x:v>O0091</x:v>
      </x:c>
      <x:c r="B92" s="36" t="n">
        <x:v>46138</x:v>
      </x:c>
      <x:c r="C92" s="13" t="str">
        <x:v>C130</x:v>
      </x:c>
      <x:c r="D92" s="13" t="str">
        <x:v>P019</x:v>
      </x:c>
      <x:c r="E92" s="13" t="str">
        <x:v>Western Canada</x:v>
      </x:c>
      <x:c r="F92" s="13" t="str">
        <x:v>Casey</x:v>
      </x:c>
      <x:c r="G92" s="13" t="n">
        <x:v>7</x:v>
      </x:c>
      <x:c r="H92" s="44" t="n">
        <x:v>30.91</x:v>
      </x:c>
      <x:c r="I92" s="38" t="n">
        <x:v>0</x:v>
      </x:c>
      <x:c r="J92" s="44" t="n">
        <x:v>216.37</x:v>
      </x:c>
      <x:c r="K92" s="13" t="str">
        <x:v>Completed</x:v>
      </x:c>
    </x:row>
    <x:row r="93">
      <x:c r="A93" s="13" t="str">
        <x:v>O0092</x:v>
      </x:c>
      <x:c r="B93" s="36" t="n">
        <x:v>46073</x:v>
      </x:c>
      <x:c r="C93" s="13" t="str">
        <x:v>C084</x:v>
      </x:c>
      <x:c r="D93" s="13" t="str">
        <x:v>P070</x:v>
      </x:c>
      <x:c r="E93" s="13" t="str">
        <x:v>Toronto</x:v>
      </x:c>
      <x:c r="F93" s="13" t="str">
        <x:v>Taylor</x:v>
      </x:c>
      <x:c r="G93" s="13" t="n">
        <x:v>2</x:v>
      </x:c>
      <x:c r="H93" s="44" t="n">
        <x:v>36.65</x:v>
      </x:c>
      <x:c r="I93" s="38" t="n">
        <x:v>0</x:v>
      </x:c>
      <x:c r="J93" s="44" t="n">
        <x:v>73.3</x:v>
      </x:c>
      <x:c r="K93" s="13" t="str">
        <x:v>Pending</x:v>
      </x:c>
    </x:row>
    <x:row r="94">
      <x:c r="A94" s="13" t="str">
        <x:v>O0093</x:v>
      </x:c>
      <x:c r="B94" s="36" t="n">
        <x:v>46214</x:v>
      </x:c>
      <x:c r="C94" s="13" t="str">
        <x:v>C139</x:v>
      </x:c>
      <x:c r="D94" s="13" t="str">
        <x:v>P033</x:v>
      </x:c>
      <x:c r="E94" s="13" t="str">
        <x:v>Toronto</x:v>
      </x:c>
      <x:c r="F94" s="13" t="str">
        <x:v>Avery</x:v>
      </x:c>
      <x:c r="G94" s="13" t="n">
        <x:v>6</x:v>
      </x:c>
      <x:c r="H94" s="44" t="n">
        <x:v>18.86</x:v>
      </x:c>
      <x:c r="I94" s="38" t="n">
        <x:v>0.15</x:v>
      </x:c>
      <x:c r="J94" s="44" t="n">
        <x:v>96.19</x:v>
      </x:c>
      <x:c r="K94" s="13" t="str">
        <x:v>Completed</x:v>
      </x:c>
    </x:row>
    <x:row r="95">
      <x:c r="A95" s="13" t="str">
        <x:v>O0094</x:v>
      </x:c>
      <x:c r="B95" s="36" t="n">
        <x:v>46128</x:v>
      </x:c>
      <x:c r="C95" s="13" t="str">
        <x:v>C072</x:v>
      </x:c>
      <x:c r="D95" s="13" t="str">
        <x:v>P030</x:v>
      </x:c>
      <x:c r="E95" s="13" t="str">
        <x:v>Toronto</x:v>
      </x:c>
      <x:c r="F95" s="13" t="str">
        <x:v>Casey</x:v>
      </x:c>
      <x:c r="G95" s="13" t="n">
        <x:v>1</x:v>
      </x:c>
      <x:c r="H95" s="44" t="n">
        <x:v>10.76</x:v>
      </x:c>
      <x:c r="I95" s="38" t="n">
        <x:v>0</x:v>
      </x:c>
      <x:c r="J95" s="44" t="n">
        <x:v>10.76</x:v>
      </x:c>
      <x:c r="K95" s="13" t="str">
        <x:v>Completed</x:v>
      </x:c>
    </x:row>
    <x:row r="96">
      <x:c r="A96" s="13" t="str">
        <x:v>O0095</x:v>
      </x:c>
      <x:c r="B96" s="36" t="n">
        <x:v>46242</x:v>
      </x:c>
      <x:c r="C96" s="13" t="str">
        <x:v>C019</x:v>
      </x:c>
      <x:c r="D96" s="13" t="str">
        <x:v>P014</x:v>
      </x:c>
      <x:c r="E96" s="13" t="str">
        <x:v>Toronto</x:v>
      </x:c>
      <x:c r="F96" s="13" t="str">
        <x:v>Casey</x:v>
      </x:c>
      <x:c r="G96" s="13" t="n">
        <x:v>12</x:v>
      </x:c>
      <x:c r="H96" s="44" t="n">
        <x:v>21.79</x:v>
      </x:c>
      <x:c r="I96" s="38" t="n">
        <x:v>0</x:v>
      </x:c>
      <x:c r="J96" s="44" t="n">
        <x:v>261.48</x:v>
      </x:c>
      <x:c r="K96" s="13" t="str">
        <x:v>Pending</x:v>
      </x:c>
    </x:row>
    <x:row r="97">
      <x:c r="A97" s="13" t="str">
        <x:v>O0096</x:v>
      </x:c>
      <x:c r="B97" s="36" t="n">
        <x:v>46118</x:v>
      </x:c>
      <x:c r="C97" s="13" t="str">
        <x:v>C004</x:v>
      </x:c>
      <x:c r="D97" s="13" t="str">
        <x:v>P050</x:v>
      </x:c>
      <x:c r="E97" s="13" t="str">
        <x:v>Western Canada</x:v>
      </x:c>
      <x:c r="F97" s="13" t="str">
        <x:v>Casey</x:v>
      </x:c>
      <x:c r="G97" s="13" t="n">
        <x:v>5</x:v>
      </x:c>
      <x:c r="H97" s="44" t="n">
        <x:v>21.74</x:v>
      </x:c>
      <x:c r="I97" s="38" t="n">
        <x:v>0.05</x:v>
      </x:c>
      <x:c r="J97" s="44" t="n">
        <x:v>103.26</x:v>
      </x:c>
      <x:c r="K97" s="13" t="str">
        <x:v>Completed</x:v>
      </x:c>
    </x:row>
    <x:row r="98">
      <x:c r="A98" s="13" t="str">
        <x:v>O0097</x:v>
      </x:c>
      <x:c r="B98" s="36" t="n">
        <x:v>46179</x:v>
      </x:c>
      <x:c r="C98" s="13" t="str">
        <x:v>C133</x:v>
      </x:c>
      <x:c r="D98" s="13" t="str">
        <x:v>P026</x:v>
      </x:c>
      <x:c r="E98" s="13" t="str">
        <x:v>Ottawa</x:v>
      </x:c>
      <x:c r="F98" s="13" t="str">
        <x:v>Jordan</x:v>
      </x:c>
      <x:c r="G98" s="13" t="n">
        <x:v>2</x:v>
      </x:c>
      <x:c r="H98" s="44" t="n">
        <x:v>22.79</x:v>
      </x:c>
      <x:c r="I98" s="38" t="n">
        <x:v>0.1</x:v>
      </x:c>
      <x:c r="J98" s="44" t="n">
        <x:v>41.02</x:v>
      </x:c>
      <x:c r="K98" s="13" t="str">
        <x:v>Pending</x:v>
      </x:c>
    </x:row>
    <x:row r="99">
      <x:c r="A99" s="13" t="str">
        <x:v>O0098</x:v>
      </x:c>
      <x:c r="B99" s="36" t="n">
        <x:v>46185</x:v>
      </x:c>
      <x:c r="C99" s="13" t="str">
        <x:v>C034</x:v>
      </x:c>
      <x:c r="D99" s="13" t="str">
        <x:v>P075</x:v>
      </x:c>
      <x:c r="E99" s="13" t="str">
        <x:v>Western Canada</x:v>
      </x:c>
      <x:c r="F99" s="13" t="str">
        <x:v>Avery</x:v>
      </x:c>
      <x:c r="G99" s="13" t="n">
        <x:v>7</x:v>
      </x:c>
      <x:c r="H99" s="44" t="n">
        <x:v>34.28</x:v>
      </x:c>
      <x:c r="I99" s="38" t="n">
        <x:v>0.1</x:v>
      </x:c>
      <x:c r="J99" s="44" t="n">
        <x:v>215.96</x:v>
      </x:c>
      <x:c r="K99" s="13" t="str">
        <x:v>Completed</x:v>
      </x:c>
    </x:row>
    <x:row r="100">
      <x:c r="A100" s="13" t="str">
        <x:v>O0099</x:v>
      </x:c>
      <x:c r="B100" s="36" t="n">
        <x:v>46234</x:v>
      </x:c>
      <x:c r="C100" s="13" t="str">
        <x:v>C090</x:v>
      </x:c>
      <x:c r="D100" s="13" t="str">
        <x:v>P033</x:v>
      </x:c>
      <x:c r="E100" s="13" t="str">
        <x:v>Ottawa</x:v>
      </x:c>
      <x:c r="F100" s="13" t="str">
        <x:v>Riley</x:v>
      </x:c>
      <x:c r="G100" s="13" t="n">
        <x:v>11</x:v>
      </x:c>
      <x:c r="H100" s="44" t="n">
        <x:v>18.86</x:v>
      </x:c>
      <x:c r="I100" s="38" t="n">
        <x:v>0.1</x:v>
      </x:c>
      <x:c r="J100" s="44" t="n">
        <x:v>186.71</x:v>
      </x:c>
      <x:c r="K100" s="13" t="str">
        <x:v>Completed</x:v>
      </x:c>
    </x:row>
    <x:row r="101">
      <x:c r="A101" s="13" t="str">
        <x:v>O0100</x:v>
      </x:c>
      <x:c r="B101" s="36" t="n">
        <x:v>46153</x:v>
      </x:c>
      <x:c r="C101" s="13" t="str">
        <x:v>C045</x:v>
      </x:c>
      <x:c r="D101" s="13" t="str">
        <x:v>P073</x:v>
      </x:c>
      <x:c r="E101" s="13" t="str">
        <x:v>GTA West</x:v>
      </x:c>
      <x:c r="F101" s="13" t="str">
        <x:v>Morgan</x:v>
      </x:c>
      <x:c r="G101" s="13" t="n">
        <x:v>6</x:v>
      </x:c>
      <x:c r="H101" s="44" t="n">
        <x:v>78.14</x:v>
      </x:c>
      <x:c r="I101" s="38" t="n">
        <x:v>0</x:v>
      </x:c>
      <x:c r="J101" s="44" t="n">
        <x:v>468.84</x:v>
      </x:c>
      <x:c r="K101" s="13" t="str">
        <x:v>Completed</x:v>
      </x:c>
    </x:row>
    <x:row r="102">
      <x:c r="A102" s="13" t="str">
        <x:v>O0101</x:v>
      </x:c>
      <x:c r="B102" s="36" t="n">
        <x:v>46149</x:v>
      </x:c>
      <x:c r="C102" s="13" t="str">
        <x:v>C027</x:v>
      </x:c>
      <x:c r="D102" s="13" t="str">
        <x:v>P032</x:v>
      </x:c>
      <x:c r="E102" s="13" t="str">
        <x:v>GTA West</x:v>
      </x:c>
      <x:c r="F102" s="13" t="str">
        <x:v>Morgan</x:v>
      </x:c>
      <x:c r="G102" s="13" t="n">
        <x:v>4</x:v>
      </x:c>
      <x:c r="H102" s="44" t="n">
        <x:v>38.71</x:v>
      </x:c>
      <x:c r="I102" s="38" t="n">
        <x:v>0.05</x:v>
      </x:c>
      <x:c r="J102" s="44" t="n">
        <x:v>147.1</x:v>
      </x:c>
      <x:c r="K102" s="13" t="str">
        <x:v>Completed</x:v>
      </x:c>
    </x:row>
    <x:row r="103">
      <x:c r="A103" s="13" t="str">
        <x:v>O0102</x:v>
      </x:c>
      <x:c r="B103" s="36" t="n">
        <x:v>46054</x:v>
      </x:c>
      <x:c r="C103" s="13" t="str">
        <x:v>C062</x:v>
      </x:c>
      <x:c r="D103" s="13" t="str">
        <x:v>P026</x:v>
      </x:c>
      <x:c r="E103" s="13" t="str">
        <x:v>Ottawa</x:v>
      </x:c>
      <x:c r="F103" s="13" t="str">
        <x:v>Taylor</x:v>
      </x:c>
      <x:c r="G103" s="13" t="n">
        <x:v>7</x:v>
      </x:c>
      <x:c r="H103" s="44" t="n">
        <x:v>22.79</x:v>
      </x:c>
      <x:c r="I103" s="38" t="n">
        <x:v>0</x:v>
      </x:c>
      <x:c r="J103" s="44" t="n">
        <x:v>159.53</x:v>
      </x:c>
      <x:c r="K103" s="13" t="str">
        <x:v>Completed</x:v>
      </x:c>
    </x:row>
    <x:row r="104">
      <x:c r="A104" s="13" t="str">
        <x:v>O0103</x:v>
      </x:c>
      <x:c r="B104" s="36" t="n">
        <x:v>46207</x:v>
      </x:c>
      <x:c r="C104" s="13" t="str">
        <x:v>C003</x:v>
      </x:c>
      <x:c r="D104" s="13" t="str">
        <x:v>P046</x:v>
      </x:c>
      <x:c r="E104" s="13" t="str">
        <x:v>Southwestern ON</x:v>
      </x:c>
      <x:c r="F104" s="13" t="str">
        <x:v>Avery</x:v>
      </x:c>
      <x:c r="G104" s="13" t="n">
        <x:v>8</x:v>
      </x:c>
      <x:c r="H104" s="44" t="n">
        <x:v>15.24</x:v>
      </x:c>
      <x:c r="I104" s="38" t="n">
        <x:v>0.1</x:v>
      </x:c>
      <x:c r="J104" s="44" t="n">
        <x:v>109.73</x:v>
      </x:c>
      <x:c r="K104" s="13" t="str">
        <x:v>Cancelled</x:v>
      </x:c>
    </x:row>
    <x:row r="105">
      <x:c r="A105" s="13" t="str">
        <x:v>O0104</x:v>
      </x:c>
      <x:c r="B105" s="36" t="n">
        <x:v>46117</x:v>
      </x:c>
      <x:c r="C105" s="13" t="str">
        <x:v>C134</x:v>
      </x:c>
      <x:c r="D105" s="13" t="str">
        <x:v>P063</x:v>
      </x:c>
      <x:c r="E105" s="13" t="str">
        <x:v>Toronto</x:v>
      </x:c>
      <x:c r="F105" s="13" t="str">
        <x:v>Casey</x:v>
      </x:c>
      <x:c r="G105" s="13" t="n">
        <x:v>11</x:v>
      </x:c>
      <x:c r="H105" s="44" t="n">
        <x:v>85.92</x:v>
      </x:c>
      <x:c r="I105" s="38" t="n">
        <x:v>0.15</x:v>
      </x:c>
      <x:c r="J105" s="44" t="n">
        <x:v>803.35</x:v>
      </x:c>
      <x:c r="K105" s="13" t="str">
        <x:v>Completed</x:v>
      </x:c>
    </x:row>
    <x:row r="106">
      <x:c r="A106" s="13" t="str">
        <x:v>O0105</x:v>
      </x:c>
      <x:c r="B106" s="36" t="n">
        <x:v>46190</x:v>
      </x:c>
      <x:c r="C106" s="13" t="str">
        <x:v>C053</x:v>
      </x:c>
      <x:c r="D106" s="13" t="str">
        <x:v>P013</x:v>
      </x:c>
      <x:c r="E106" s="13" t="str">
        <x:v>GTA West</x:v>
      </x:c>
      <x:c r="F106" s="13" t="str">
        <x:v>Avery</x:v>
      </x:c>
      <x:c r="G106" s="13" t="n">
        <x:v>8</x:v>
      </x:c>
      <x:c r="H106" s="44" t="n">
        <x:v>12.07</x:v>
      </x:c>
      <x:c r="I106" s="38" t="n">
        <x:v>0.1</x:v>
      </x:c>
      <x:c r="J106" s="44" t="n">
        <x:v>86.9</x:v>
      </x:c>
      <x:c r="K106" s="13" t="str">
        <x:v>Cancelled</x:v>
      </x:c>
    </x:row>
    <x:row r="107">
      <x:c r="A107" s="13" t="str">
        <x:v>O0106</x:v>
      </x:c>
      <x:c r="B107" s="36" t="n">
        <x:v>46059</x:v>
      </x:c>
      <x:c r="C107" s="13" t="str">
        <x:v>C030</x:v>
      </x:c>
      <x:c r="D107" s="13" t="str">
        <x:v>P073</x:v>
      </x:c>
      <x:c r="E107" s="13" t="str">
        <x:v>Southwestern ON</x:v>
      </x:c>
      <x:c r="F107" s="13" t="str">
        <x:v>Taylor</x:v>
      </x:c>
      <x:c r="G107" s="13" t="n">
        <x:v>7</x:v>
      </x:c>
      <x:c r="H107" s="44" t="n">
        <x:v>78.14</x:v>
      </x:c>
      <x:c r="I107" s="38" t="n">
        <x:v>0.1</x:v>
      </x:c>
      <x:c r="J107" s="44" t="n">
        <x:v>492.28</x:v>
      </x:c>
      <x:c r="K107" s="13" t="str">
        <x:v>Completed</x:v>
      </x:c>
    </x:row>
    <x:row r="108">
      <x:c r="A108" s="13" t="str">
        <x:v>O0107</x:v>
      </x:c>
      <x:c r="B108" s="36" t="n">
        <x:v>46244</x:v>
      </x:c>
      <x:c r="C108" s="13" t="str">
        <x:v>C104</x:v>
      </x:c>
      <x:c r="D108" s="13" t="str">
        <x:v>P061</x:v>
      </x:c>
      <x:c r="E108" s="13" t="str">
        <x:v>Western Canada</x:v>
      </x:c>
      <x:c r="F108" s="13" t="str">
        <x:v>Casey</x:v>
      </x:c>
      <x:c r="G108" s="13" t="n">
        <x:v>10</x:v>
      </x:c>
      <x:c r="H108" s="44" t="n">
        <x:v>40.29</x:v>
      </x:c>
      <x:c r="I108" s="38" t="n">
        <x:v>0</x:v>
      </x:c>
      <x:c r="J108" s="44" t="n">
        <x:v>402.9</x:v>
      </x:c>
      <x:c r="K108" s="13" t="str">
        <x:v>Completed</x:v>
      </x:c>
    </x:row>
    <x:row r="109">
      <x:c r="A109" s="13" t="str">
        <x:v>O0108</x:v>
      </x:c>
      <x:c r="B109" s="36" t="n">
        <x:v>46141</x:v>
      </x:c>
      <x:c r="C109" s="13" t="str">
        <x:v>C090</x:v>
      </x:c>
      <x:c r="D109" s="13" t="str">
        <x:v>P075</x:v>
      </x:c>
      <x:c r="E109" s="13" t="str">
        <x:v>Southwestern ON</x:v>
      </x:c>
      <x:c r="F109" s="13" t="str">
        <x:v>Morgan</x:v>
      </x:c>
      <x:c r="G109" s="13" t="n">
        <x:v>2</x:v>
      </x:c>
      <x:c r="H109" s="44" t="n">
        <x:v>34.28</x:v>
      </x:c>
      <x:c r="I109" s="38" t="n">
        <x:v>0.05</x:v>
      </x:c>
      <x:c r="J109" s="44" t="n">
        <x:v>65.13</x:v>
      </x:c>
      <x:c r="K109" s="13" t="str">
        <x:v>Pending</x:v>
      </x:c>
    </x:row>
    <x:row r="110">
      <x:c r="A110" s="13" t="str">
        <x:v>O0109</x:v>
      </x:c>
      <x:c r="B110" s="36" t="n">
        <x:v>46137</x:v>
      </x:c>
      <x:c r="C110" s="13" t="str">
        <x:v>C048</x:v>
      </x:c>
      <x:c r="D110" s="13" t="str">
        <x:v>P045</x:v>
      </x:c>
      <x:c r="E110" s="13" t="str">
        <x:v>Western Canada</x:v>
      </x:c>
      <x:c r="F110" s="13" t="str">
        <x:v>Morgan</x:v>
      </x:c>
      <x:c r="G110" s="13" t="n">
        <x:v>10</x:v>
      </x:c>
      <x:c r="H110" s="44" t="n">
        <x:v>13.92</x:v>
      </x:c>
      <x:c r="I110" s="38" t="n">
        <x:v>0</x:v>
      </x:c>
      <x:c r="J110" s="44" t="n">
        <x:v>139.2</x:v>
      </x:c>
      <x:c r="K110" s="13" t="str">
        <x:v>Completed</x:v>
      </x:c>
    </x:row>
    <x:row r="111">
      <x:c r="A111" s="13" t="str">
        <x:v>O0110</x:v>
      </x:c>
      <x:c r="B111" s="36" t="n">
        <x:v>46120</x:v>
      </x:c>
      <x:c r="C111" s="13" t="str">
        <x:v>C061</x:v>
      </x:c>
      <x:c r="D111" s="13" t="str">
        <x:v>P003</x:v>
      </x:c>
      <x:c r="E111" s="13" t="str">
        <x:v>Western Canada</x:v>
      </x:c>
      <x:c r="F111" s="13" t="str">
        <x:v>Avery</x:v>
      </x:c>
      <x:c r="G111" s="13" t="n">
        <x:v>10</x:v>
      </x:c>
      <x:c r="H111" s="44" t="n">
        <x:v>29.94</x:v>
      </x:c>
      <x:c r="I111" s="38" t="n">
        <x:v>0</x:v>
      </x:c>
      <x:c r="J111" s="44" t="n">
        <x:v>299.4</x:v>
      </x:c>
      <x:c r="K111" s="13" t="str">
        <x:v>Completed</x:v>
      </x:c>
    </x:row>
    <x:row r="112">
      <x:c r="A112" s="13" t="str">
        <x:v>O0111</x:v>
      </x:c>
      <x:c r="B112" s="36" t="n">
        <x:v>46204</x:v>
      </x:c>
      <x:c r="C112" s="13" t="str">
        <x:v>C050</x:v>
      </x:c>
      <x:c r="D112" s="13" t="str">
        <x:v>P055</x:v>
      </x:c>
      <x:c r="E112" s="13" t="str">
        <x:v>Western Canada</x:v>
      </x:c>
      <x:c r="F112" s="13" t="str">
        <x:v>Casey</x:v>
      </x:c>
      <x:c r="G112" s="13" t="n">
        <x:v>1</x:v>
      </x:c>
      <x:c r="H112" s="44" t="n">
        <x:v>30.71</x:v>
      </x:c>
      <x:c r="I112" s="38" t="n">
        <x:v>0</x:v>
      </x:c>
      <x:c r="J112" s="44" t="n">
        <x:v>30.71</x:v>
      </x:c>
      <x:c r="K112" s="13" t="str">
        <x:v>Cancelled</x:v>
      </x:c>
    </x:row>
    <x:row r="113">
      <x:c r="A113" s="13" t="str">
        <x:v>O0112</x:v>
      </x:c>
      <x:c r="B113" s="36" t="n">
        <x:v>46046</x:v>
      </x:c>
      <x:c r="C113" s="13" t="str">
        <x:v>C061</x:v>
      </x:c>
      <x:c r="D113" s="13" t="str">
        <x:v>P019</x:v>
      </x:c>
      <x:c r="E113" s="13" t="str">
        <x:v>Southwestern ON</x:v>
      </x:c>
      <x:c r="F113" s="13" t="str">
        <x:v>Casey</x:v>
      </x:c>
      <x:c r="G113" s="13" t="n">
        <x:v>4</x:v>
      </x:c>
      <x:c r="H113" s="44" t="n">
        <x:v>30.91</x:v>
      </x:c>
      <x:c r="I113" s="38" t="n">
        <x:v>0.1</x:v>
      </x:c>
      <x:c r="J113" s="44" t="n">
        <x:v>111.28</x:v>
      </x:c>
      <x:c r="K113" s="13" t="str">
        <x:v>Cancelled</x:v>
      </x:c>
    </x:row>
    <x:row r="114">
      <x:c r="A114" s="13" t="str">
        <x:v>O0113</x:v>
      </x:c>
      <x:c r="B114" s="36" t="n">
        <x:v>46161</x:v>
      </x:c>
      <x:c r="C114" s="13" t="str">
        <x:v>C089</x:v>
      </x:c>
      <x:c r="D114" s="13" t="str">
        <x:v>P022</x:v>
      </x:c>
      <x:c r="E114" s="13" t="str">
        <x:v>GTA West</x:v>
      </x:c>
      <x:c r="F114" s="13" t="str">
        <x:v>Avery</x:v>
      </x:c>
      <x:c r="G114" s="13" t="n">
        <x:v>6</x:v>
      </x:c>
      <x:c r="H114" s="44" t="n">
        <x:v>25.34</x:v>
      </x:c>
      <x:c r="I114" s="38" t="n">
        <x:v>0.15</x:v>
      </x:c>
      <x:c r="J114" s="44" t="n">
        <x:v>129.23</x:v>
      </x:c>
      <x:c r="K114" s="13" t="str">
        <x:v>Completed</x:v>
      </x:c>
    </x:row>
    <x:row r="115">
      <x:c r="A115" s="13" t="str">
        <x:v>O0114</x:v>
      </x:c>
      <x:c r="B115" s="36" t="n">
        <x:v>46204</x:v>
      </x:c>
      <x:c r="C115" s="13" t="str">
        <x:v>C094</x:v>
      </x:c>
      <x:c r="D115" s="13" t="str">
        <x:v>P013</x:v>
      </x:c>
      <x:c r="E115" s="13" t="str">
        <x:v>Ottawa</x:v>
      </x:c>
      <x:c r="F115" s="13" t="str">
        <x:v>Casey</x:v>
      </x:c>
      <x:c r="G115" s="13" t="n">
        <x:v>3</x:v>
      </x:c>
      <x:c r="H115" s="44" t="n">
        <x:v>12.07</x:v>
      </x:c>
      <x:c r="I115" s="38" t="n">
        <x:v>0.05</x:v>
      </x:c>
      <x:c r="J115" s="44" t="n">
        <x:v>34.4</x:v>
      </x:c>
      <x:c r="K115" s="13" t="str">
        <x:v>Completed</x:v>
      </x:c>
    </x:row>
    <x:row r="116">
      <x:c r="A116" s="13" t="str">
        <x:v>O0115</x:v>
      </x:c>
      <x:c r="B116" s="36" t="n">
        <x:v>46230</x:v>
      </x:c>
      <x:c r="C116" s="13" t="str">
        <x:v>C052</x:v>
      </x:c>
      <x:c r="D116" s="13" t="str">
        <x:v>P061</x:v>
      </x:c>
      <x:c r="E116" s="13" t="str">
        <x:v>Ottawa</x:v>
      </x:c>
      <x:c r="F116" s="13" t="str">
        <x:v>Taylor</x:v>
      </x:c>
      <x:c r="G116" s="13" t="n">
        <x:v>10</x:v>
      </x:c>
      <x:c r="H116" s="44" t="n">
        <x:v>40.29</x:v>
      </x:c>
      <x:c r="I116" s="38" t="n">
        <x:v>0</x:v>
      </x:c>
      <x:c r="J116" s="44" t="n">
        <x:v>402.9</x:v>
      </x:c>
      <x:c r="K116" s="13" t="str">
        <x:v>Completed</x:v>
      </x:c>
    </x:row>
    <x:row r="117">
      <x:c r="A117" s="13" t="str">
        <x:v>O0116</x:v>
      </x:c>
      <x:c r="B117" s="36" t="n">
        <x:v>46150</x:v>
      </x:c>
      <x:c r="C117" s="13" t="str">
        <x:v>C126</x:v>
      </x:c>
      <x:c r="D117" s="13" t="str">
        <x:v>P073</x:v>
      </x:c>
      <x:c r="E117" s="13" t="str">
        <x:v>Southwestern ON</x:v>
      </x:c>
      <x:c r="F117" s="13" t="str">
        <x:v>Taylor</x:v>
      </x:c>
      <x:c r="G117" s="13" t="n">
        <x:v>3</x:v>
      </x:c>
      <x:c r="H117" s="44" t="n">
        <x:v>78.14</x:v>
      </x:c>
      <x:c r="I117" s="38" t="n">
        <x:v>0</x:v>
      </x:c>
      <x:c r="J117" s="44" t="n">
        <x:v>234.42</x:v>
      </x:c>
      <x:c r="K117" s="13" t="str">
        <x:v>Completed</x:v>
      </x:c>
    </x:row>
    <x:row r="118">
      <x:c r="A118" s="13" t="str">
        <x:v>O0117</x:v>
      </x:c>
      <x:c r="B118" s="36" t="n">
        <x:v>46185</x:v>
      </x:c>
      <x:c r="C118" s="13" t="str">
        <x:v>C119</x:v>
      </x:c>
      <x:c r="D118" s="13" t="str">
        <x:v>P072</x:v>
      </x:c>
      <x:c r="E118" s="13" t="str">
        <x:v>Ottawa</x:v>
      </x:c>
      <x:c r="F118" s="13" t="str">
        <x:v>Avery</x:v>
      </x:c>
      <x:c r="G118" s="13" t="n">
        <x:v>11</x:v>
      </x:c>
      <x:c r="H118" s="44" t="n">
        <x:v>38.37</x:v>
      </x:c>
      <x:c r="I118" s="38" t="n">
        <x:v>0.05</x:v>
      </x:c>
      <x:c r="J118" s="44" t="n">
        <x:v>400.97</x:v>
      </x:c>
      <x:c r="K118" s="13" t="str">
        <x:v>Completed</x:v>
      </x:c>
    </x:row>
    <x:row r="119">
      <x:c r="A119" s="13" t="str">
        <x:v>O0118</x:v>
      </x:c>
      <x:c r="B119" s="36" t="n">
        <x:v>46127</x:v>
      </x:c>
      <x:c r="C119" s="13" t="str">
        <x:v>C079</x:v>
      </x:c>
      <x:c r="D119" s="13" t="str">
        <x:v>P041</x:v>
      </x:c>
      <x:c r="E119" s="13" t="str">
        <x:v>Western Canada</x:v>
      </x:c>
      <x:c r="F119" s="13" t="str">
        <x:v>Morgan</x:v>
      </x:c>
      <x:c r="G119" s="13" t="n">
        <x:v>4</x:v>
      </x:c>
      <x:c r="H119" s="44" t="n">
        <x:v>25.09</x:v>
      </x:c>
      <x:c r="I119" s="38" t="n">
        <x:v>0.05</x:v>
      </x:c>
      <x:c r="J119" s="44" t="n">
        <x:v>95.34</x:v>
      </x:c>
      <x:c r="K119" s="13" t="str">
        <x:v>Completed</x:v>
      </x:c>
    </x:row>
    <x:row r="120">
      <x:c r="A120" s="13" t="str">
        <x:v>O0119</x:v>
      </x:c>
      <x:c r="B120" s="36" t="n">
        <x:v>46098</x:v>
      </x:c>
      <x:c r="C120" s="13" t="str">
        <x:v>C124</x:v>
      </x:c>
      <x:c r="D120" s="13" t="str">
        <x:v>P058</x:v>
      </x:c>
      <x:c r="E120" s="13" t="str">
        <x:v>Southwestern ON</x:v>
      </x:c>
      <x:c r="F120" s="13" t="str">
        <x:v>Morgan</x:v>
      </x:c>
      <x:c r="G120" s="13" t="n">
        <x:v>10</x:v>
      </x:c>
      <x:c r="H120" s="44" t="n">
        <x:v>36.09</x:v>
      </x:c>
      <x:c r="I120" s="38" t="n">
        <x:v>0.1</x:v>
      </x:c>
      <x:c r="J120" s="44" t="n">
        <x:v>324.81</x:v>
      </x:c>
      <x:c r="K120" s="13" t="str">
        <x:v>Pending</x:v>
      </x:c>
    </x:row>
    <x:row r="121">
      <x:c r="A121" s="13" t="str">
        <x:v>O0120</x:v>
      </x:c>
      <x:c r="B121" s="36" t="n">
        <x:v>46082</x:v>
      </x:c>
      <x:c r="C121" s="13" t="str">
        <x:v>C096</x:v>
      </x:c>
      <x:c r="D121" s="13" t="str">
        <x:v>P053</x:v>
      </x:c>
      <x:c r="E121" s="13" t="str">
        <x:v>Western Canada</x:v>
      </x:c>
      <x:c r="F121" s="13" t="str">
        <x:v>Taylor</x:v>
      </x:c>
      <x:c r="G121" s="13" t="n">
        <x:v>10</x:v>
      </x:c>
      <x:c r="H121" s="44" t="n">
        <x:v>17.95</x:v>
      </x:c>
      <x:c r="I121" s="38" t="n">
        <x:v>0</x:v>
      </x:c>
      <x:c r="J121" s="44" t="n">
        <x:v>179.5</x:v>
      </x:c>
      <x:c r="K121" s="13" t="str">
        <x:v>Pending</x:v>
      </x:c>
    </x:row>
    <x:row r="122">
      <x:c r="A122" s="13" t="str">
        <x:v>O0121</x:v>
      </x:c>
      <x:c r="B122" s="36" t="n">
        <x:v>46098</x:v>
      </x:c>
      <x:c r="C122" s="13" t="str">
        <x:v>C092</x:v>
      </x:c>
      <x:c r="D122" s="13" t="str">
        <x:v>P060</x:v>
      </x:c>
      <x:c r="E122" s="13" t="str">
        <x:v>Western Canada</x:v>
      </x:c>
      <x:c r="F122" s="13" t="str">
        <x:v>Avery</x:v>
      </x:c>
      <x:c r="G122" s="13" t="n">
        <x:v>3</x:v>
      </x:c>
      <x:c r="H122" s="44" t="n">
        <x:v>21.75</x:v>
      </x:c>
      <x:c r="I122" s="38" t="n">
        <x:v>0</x:v>
      </x:c>
      <x:c r="J122" s="44" t="n">
        <x:v>65.25</x:v>
      </x:c>
      <x:c r="K122" s="13" t="str">
        <x:v>Completed</x:v>
      </x:c>
    </x:row>
    <x:row r="123">
      <x:c r="A123" s="13" t="str">
        <x:v>O0122</x:v>
      </x:c>
      <x:c r="B123" s="36" t="n">
        <x:v>46061</x:v>
      </x:c>
      <x:c r="C123" s="13" t="str">
        <x:v>C069</x:v>
      </x:c>
      <x:c r="D123" s="13" t="str">
        <x:v>P065</x:v>
      </x:c>
      <x:c r="E123" s="13" t="str">
        <x:v>Ottawa</x:v>
      </x:c>
      <x:c r="F123" s="13" t="str">
        <x:v>Taylor</x:v>
      </x:c>
      <x:c r="G123" s="13" t="n">
        <x:v>7</x:v>
      </x:c>
      <x:c r="H123" s="44" t="n">
        <x:v>31.76</x:v>
      </x:c>
      <x:c r="I123" s="38" t="n">
        <x:v>0.1</x:v>
      </x:c>
      <x:c r="J123" s="44" t="n">
        <x:v>200.09</x:v>
      </x:c>
      <x:c r="K123" s="13" t="str">
        <x:v>Completed</x:v>
      </x:c>
    </x:row>
    <x:row r="124">
      <x:c r="A124" s="13" t="str">
        <x:v>O0123</x:v>
      </x:c>
      <x:c r="B124" s="36" t="n">
        <x:v>46104</x:v>
      </x:c>
      <x:c r="C124" s="13" t="str">
        <x:v>C003</x:v>
      </x:c>
      <x:c r="D124" s="13" t="str">
        <x:v>P006</x:v>
      </x:c>
      <x:c r="E124" s="13" t="str">
        <x:v>GTA West</x:v>
      </x:c>
      <x:c r="F124" s="13" t="str">
        <x:v>Morgan</x:v>
      </x:c>
      <x:c r="G124" s="13" t="n">
        <x:v>6</x:v>
      </x:c>
      <x:c r="H124" s="44" t="n">
        <x:v>22.5</x:v>
      </x:c>
      <x:c r="I124" s="38" t="n">
        <x:v>0.05</x:v>
      </x:c>
      <x:c r="J124" s="44" t="n">
        <x:v>128.25</x:v>
      </x:c>
      <x:c r="K124" s="13" t="str">
        <x:v>Completed</x:v>
      </x:c>
    </x:row>
    <x:row r="125">
      <x:c r="A125" s="13" t="str">
        <x:v>O0124</x:v>
      </x:c>
      <x:c r="B125" s="36" t="n">
        <x:v>46076</x:v>
      </x:c>
      <x:c r="C125" s="13" t="str">
        <x:v>C052</x:v>
      </x:c>
      <x:c r="D125" s="13" t="str">
        <x:v>P058</x:v>
      </x:c>
      <x:c r="E125" s="13" t="str">
        <x:v>Toronto</x:v>
      </x:c>
      <x:c r="F125" s="13" t="str">
        <x:v>Taylor</x:v>
      </x:c>
      <x:c r="G125" s="13" t="n">
        <x:v>3</x:v>
      </x:c>
      <x:c r="H125" s="44" t="n">
        <x:v>36.09</x:v>
      </x:c>
      <x:c r="I125" s="38" t="n">
        <x:v>0.1</x:v>
      </x:c>
      <x:c r="J125" s="44" t="n">
        <x:v>97.44</x:v>
      </x:c>
      <x:c r="K125" s="13" t="str">
        <x:v>Completed</x:v>
      </x:c>
    </x:row>
    <x:row r="126">
      <x:c r="A126" s="13" t="str">
        <x:v>O0125</x:v>
      </x:c>
      <x:c r="B126" s="36" t="n">
        <x:v>46122</x:v>
      </x:c>
      <x:c r="C126" s="13" t="str">
        <x:v>C024</x:v>
      </x:c>
      <x:c r="D126" s="13" t="str">
        <x:v>P059</x:v>
      </x:c>
      <x:c r="E126" s="13" t="str">
        <x:v>Ottawa</x:v>
      </x:c>
      <x:c r="F126" s="13" t="str">
        <x:v>Morgan</x:v>
      </x:c>
      <x:c r="G126" s="13" t="n">
        <x:v>11</x:v>
      </x:c>
      <x:c r="H126" s="44" t="n">
        <x:v>25.22</x:v>
      </x:c>
      <x:c r="I126" s="38" t="n">
        <x:v>0</x:v>
      </x:c>
      <x:c r="J126" s="44" t="n">
        <x:v>277.42</x:v>
      </x:c>
      <x:c r="K126" s="13" t="str">
        <x:v>Completed</x:v>
      </x:c>
    </x:row>
    <x:row r="127">
      <x:c r="A127" s="13" t="str">
        <x:v>O0126</x:v>
      </x:c>
      <x:c r="B127" s="36" t="n">
        <x:v>46061</x:v>
      </x:c>
      <x:c r="C127" s="13" t="str">
        <x:v>C027</x:v>
      </x:c>
      <x:c r="D127" s="13" t="str">
        <x:v>P064</x:v>
      </x:c>
      <x:c r="E127" s="13" t="str">
        <x:v>GTA West</x:v>
      </x:c>
      <x:c r="F127" s="13" t="str">
        <x:v>Riley</x:v>
      </x:c>
      <x:c r="G127" s="13" t="n">
        <x:v>2</x:v>
      </x:c>
      <x:c r="H127" s="44" t="n">
        <x:v>36.07</x:v>
      </x:c>
      <x:c r="I127" s="38" t="n">
        <x:v>0.05</x:v>
      </x:c>
      <x:c r="J127" s="44" t="n">
        <x:v>68.53</x:v>
      </x:c>
      <x:c r="K127" s="13" t="str">
        <x:v>Completed</x:v>
      </x:c>
    </x:row>
    <x:row r="128">
      <x:c r="A128" s="13" t="str">
        <x:v>O0127</x:v>
      </x:c>
      <x:c r="B128" s="36" t="n">
        <x:v>46219</x:v>
      </x:c>
      <x:c r="C128" s="13" t="str">
        <x:v>C063</x:v>
      </x:c>
      <x:c r="D128" s="13" t="str">
        <x:v>P040</x:v>
      </x:c>
      <x:c r="E128" s="13" t="str">
        <x:v>Ottawa</x:v>
      </x:c>
      <x:c r="F128" s="13" t="str">
        <x:v>Casey</x:v>
      </x:c>
      <x:c r="G128" s="13" t="n">
        <x:v>6</x:v>
      </x:c>
      <x:c r="H128" s="44" t="n">
        <x:v>15.6</x:v>
      </x:c>
      <x:c r="I128" s="38" t="n">
        <x:v>0</x:v>
      </x:c>
      <x:c r="J128" s="44" t="n">
        <x:v>93.6</x:v>
      </x:c>
      <x:c r="K128" s="13" t="str">
        <x:v>Completed</x:v>
      </x:c>
    </x:row>
    <x:row r="129">
      <x:c r="A129" s="13" t="str">
        <x:v>O0128</x:v>
      </x:c>
      <x:c r="B129" s="36" t="n">
        <x:v>46084</x:v>
      </x:c>
      <x:c r="C129" s="13" t="str">
        <x:v>C124</x:v>
      </x:c>
      <x:c r="D129" s="13" t="str">
        <x:v>P029</x:v>
      </x:c>
      <x:c r="E129" s="13" t="str">
        <x:v>GTA West</x:v>
      </x:c>
      <x:c r="F129" s="13" t="str">
        <x:v>Riley</x:v>
      </x:c>
      <x:c r="G129" s="13" t="n">
        <x:v>8</x:v>
      </x:c>
      <x:c r="H129" s="44" t="n">
        <x:v>15.29</x:v>
      </x:c>
      <x:c r="I129" s="38" t="n">
        <x:v>0.1</x:v>
      </x:c>
      <x:c r="J129" s="44" t="n">
        <x:v>110.09</x:v>
      </x:c>
      <x:c r="K129" s="13" t="str">
        <x:v>Completed</x:v>
      </x:c>
    </x:row>
    <x:row r="130">
      <x:c r="A130" s="13" t="str">
        <x:v>O0129</x:v>
      </x:c>
      <x:c r="B130" s="36" t="n">
        <x:v>46194</x:v>
      </x:c>
      <x:c r="C130" s="13" t="str">
        <x:v>C077</x:v>
      </x:c>
      <x:c r="D130" s="13" t="str">
        <x:v>P036</x:v>
      </x:c>
      <x:c r="E130" s="13" t="str">
        <x:v>Ottawa</x:v>
      </x:c>
      <x:c r="F130" s="13" t="str">
        <x:v>Avery</x:v>
      </x:c>
      <x:c r="G130" s="13" t="n">
        <x:v>10</x:v>
      </x:c>
      <x:c r="H130" s="44" t="n">
        <x:v>24.04</x:v>
      </x:c>
      <x:c r="I130" s="38" t="n">
        <x:v>0</x:v>
      </x:c>
      <x:c r="J130" s="44" t="n">
        <x:v>240.4</x:v>
      </x:c>
      <x:c r="K130" s="13" t="str">
        <x:v>Completed</x:v>
      </x:c>
    </x:row>
    <x:row r="131">
      <x:c r="A131" s="13" t="str">
        <x:v>O0130</x:v>
      </x:c>
      <x:c r="B131" s="36" t="n">
        <x:v>46125</x:v>
      </x:c>
      <x:c r="C131" s="13" t="str">
        <x:v>C017</x:v>
      </x:c>
      <x:c r="D131" s="13" t="str">
        <x:v>P052</x:v>
      </x:c>
      <x:c r="E131" s="13" t="str">
        <x:v>Southwestern ON</x:v>
      </x:c>
      <x:c r="F131" s="13" t="str">
        <x:v>Avery</x:v>
      </x:c>
      <x:c r="G131" s="13" t="n">
        <x:v>10</x:v>
      </x:c>
      <x:c r="H131" s="44" t="n">
        <x:v>22.35</x:v>
      </x:c>
      <x:c r="I131" s="38" t="n">
        <x:v>0</x:v>
      </x:c>
      <x:c r="J131" s="44" t="n">
        <x:v>223.5</x:v>
      </x:c>
      <x:c r="K131" s="13" t="str">
        <x:v>Completed</x:v>
      </x:c>
    </x:row>
    <x:row r="132">
      <x:c r="A132" s="13" t="str">
        <x:v>O0131</x:v>
      </x:c>
      <x:c r="B132" s="36" t="n">
        <x:v>46098</x:v>
      </x:c>
      <x:c r="C132" s="13" t="str">
        <x:v>C117</x:v>
      </x:c>
      <x:c r="D132" s="13" t="str">
        <x:v>P047</x:v>
      </x:c>
      <x:c r="E132" s="13" t="str">
        <x:v>Western Canada</x:v>
      </x:c>
      <x:c r="F132" s="13" t="str">
        <x:v>Avery</x:v>
      </x:c>
      <x:c r="G132" s="13" t="n">
        <x:v>8</x:v>
      </x:c>
      <x:c r="H132" s="44" t="n">
        <x:v>30.55</x:v>
      </x:c>
      <x:c r="I132" s="38" t="n">
        <x:v>0</x:v>
      </x:c>
      <x:c r="J132" s="44" t="n">
        <x:v>244.4</x:v>
      </x:c>
      <x:c r="K132" s="13" t="str">
        <x:v>Completed</x:v>
      </x:c>
    </x:row>
    <x:row r="133">
      <x:c r="A133" s="13" t="str">
        <x:v>O0132</x:v>
      </x:c>
      <x:c r="B133" s="36" t="n">
        <x:v>46121</x:v>
      </x:c>
      <x:c r="C133" s="13" t="str">
        <x:v>C006</x:v>
      </x:c>
      <x:c r="D133" s="13" t="str">
        <x:v>P068</x:v>
      </x:c>
      <x:c r="E133" s="13" t="str">
        <x:v>GTA West</x:v>
      </x:c>
      <x:c r="F133" s="13" t="str">
        <x:v>Casey</x:v>
      </x:c>
      <x:c r="G133" s="13" t="n">
        <x:v>10</x:v>
      </x:c>
      <x:c r="H133" s="44" t="n">
        <x:v>50.69</x:v>
      </x:c>
      <x:c r="I133" s="38" t="n">
        <x:v>0</x:v>
      </x:c>
      <x:c r="J133" s="44" t="n">
        <x:v>506.9</x:v>
      </x:c>
      <x:c r="K133" s="13" t="str">
        <x:v>Completed</x:v>
      </x:c>
    </x:row>
    <x:row r="134">
      <x:c r="A134" s="13" t="str">
        <x:v>O0133</x:v>
      </x:c>
      <x:c r="B134" s="36" t="n">
        <x:v>46161</x:v>
      </x:c>
      <x:c r="C134" s="13" t="str">
        <x:v>C082</x:v>
      </x:c>
      <x:c r="D134" s="13" t="str">
        <x:v>P006</x:v>
      </x:c>
      <x:c r="E134" s="13" t="str">
        <x:v>Ottawa</x:v>
      </x:c>
      <x:c r="F134" s="13" t="str">
        <x:v>Riley</x:v>
      </x:c>
      <x:c r="G134" s="13" t="n">
        <x:v>9</x:v>
      </x:c>
      <x:c r="H134" s="44" t="n">
        <x:v>22.5</x:v>
      </x:c>
      <x:c r="I134" s="38" t="n">
        <x:v>0</x:v>
      </x:c>
      <x:c r="J134" s="44" t="n">
        <x:v>202.5</x:v>
      </x:c>
      <x:c r="K134" s="13" t="str">
        <x:v>Pending</x:v>
      </x:c>
    </x:row>
    <x:row r="135">
      <x:c r="A135" s="13" t="str">
        <x:v>O0134</x:v>
      </x:c>
      <x:c r="B135" s="36" t="n">
        <x:v>46174</x:v>
      </x:c>
      <x:c r="C135" s="13" t="str">
        <x:v>C056</x:v>
      </x:c>
      <x:c r="D135" s="13" t="str">
        <x:v>P033</x:v>
      </x:c>
      <x:c r="E135" s="13" t="str">
        <x:v>Southwestern ON</x:v>
      </x:c>
      <x:c r="F135" s="13" t="str">
        <x:v>Riley</x:v>
      </x:c>
      <x:c r="G135" s="13" t="n">
        <x:v>11</x:v>
      </x:c>
      <x:c r="H135" s="44" t="n">
        <x:v>18.86</x:v>
      </x:c>
      <x:c r="I135" s="38" t="n">
        <x:v>0</x:v>
      </x:c>
      <x:c r="J135" s="44" t="n">
        <x:v>207.46</x:v>
      </x:c>
      <x:c r="K135" s="13" t="str">
        <x:v>Completed</x:v>
      </x:c>
    </x:row>
    <x:row r="136">
      <x:c r="A136" s="13" t="str">
        <x:v>O0135</x:v>
      </x:c>
      <x:c r="B136" s="36" t="n">
        <x:v>46049</x:v>
      </x:c>
      <x:c r="C136" s="13" t="str">
        <x:v>C080</x:v>
      </x:c>
      <x:c r="D136" s="13" t="str">
        <x:v>P058</x:v>
      </x:c>
      <x:c r="E136" s="13" t="str">
        <x:v>Western Canada</x:v>
      </x:c>
      <x:c r="F136" s="13" t="str">
        <x:v>Jordan</x:v>
      </x:c>
      <x:c r="G136" s="13" t="n">
        <x:v>11</x:v>
      </x:c>
      <x:c r="H136" s="44" t="n">
        <x:v>36.09</x:v>
      </x:c>
      <x:c r="I136" s="38" t="n">
        <x:v>0.15</x:v>
      </x:c>
      <x:c r="J136" s="44" t="n">
        <x:v>337.44</x:v>
      </x:c>
      <x:c r="K136" s="13" t="str">
        <x:v>Pending</x:v>
      </x:c>
    </x:row>
    <x:row r="137">
      <x:c r="A137" s="13" t="str">
        <x:v>O0136</x:v>
      </x:c>
      <x:c r="B137" s="36" t="n">
        <x:v>46206</x:v>
      </x:c>
      <x:c r="C137" s="13" t="str">
        <x:v>C133</x:v>
      </x:c>
      <x:c r="D137" s="13" t="str">
        <x:v>P045</x:v>
      </x:c>
      <x:c r="E137" s="13" t="str">
        <x:v>GTA West</x:v>
      </x:c>
      <x:c r="F137" s="13" t="str">
        <x:v>Jordan</x:v>
      </x:c>
      <x:c r="G137" s="13" t="n">
        <x:v>7</x:v>
      </x:c>
      <x:c r="H137" s="44" t="n">
        <x:v>13.92</x:v>
      </x:c>
      <x:c r="I137" s="38" t="n">
        <x:v>0.05</x:v>
      </x:c>
      <x:c r="J137" s="44" t="n">
        <x:v>92.57</x:v>
      </x:c>
      <x:c r="K137" s="13" t="str">
        <x:v>Completed</x:v>
      </x:c>
    </x:row>
    <x:row r="138">
      <x:c r="A138" s="13" t="str">
        <x:v>O0137</x:v>
      </x:c>
      <x:c r="B138" s="36" t="n">
        <x:v>46090</x:v>
      </x:c>
      <x:c r="C138" s="13" t="str">
        <x:v>C057</x:v>
      </x:c>
      <x:c r="D138" s="13" t="str">
        <x:v>P072</x:v>
      </x:c>
      <x:c r="E138" s="13" t="str">
        <x:v>GTA West</x:v>
      </x:c>
      <x:c r="F138" s="13" t="str">
        <x:v>Morgan</x:v>
      </x:c>
      <x:c r="G138" s="13" t="n">
        <x:v>2</x:v>
      </x:c>
      <x:c r="H138" s="44" t="n">
        <x:v>38.37</x:v>
      </x:c>
      <x:c r="I138" s="38" t="n">
        <x:v>0.05</x:v>
      </x:c>
      <x:c r="J138" s="44" t="n">
        <x:v>72.9</x:v>
      </x:c>
      <x:c r="K138" s="13" t="str">
        <x:v>Completed</x:v>
      </x:c>
    </x:row>
    <x:row r="139">
      <x:c r="A139" s="13" t="str">
        <x:v>O0138</x:v>
      </x:c>
      <x:c r="B139" s="36" t="n">
        <x:v>46030</x:v>
      </x:c>
      <x:c r="C139" s="13" t="str">
        <x:v>C104</x:v>
      </x:c>
      <x:c r="D139" s="13" t="str">
        <x:v>P042</x:v>
      </x:c>
      <x:c r="E139" s="13" t="str">
        <x:v>Toronto</x:v>
      </x:c>
      <x:c r="F139" s="13" t="str">
        <x:v>Morgan</x:v>
      </x:c>
      <x:c r="G139" s="13" t="n">
        <x:v>7</x:v>
      </x:c>
      <x:c r="H139" s="44" t="n">
        <x:v>26.28</x:v>
      </x:c>
      <x:c r="I139" s="38" t="n">
        <x:v>0</x:v>
      </x:c>
      <x:c r="J139" s="44" t="n">
        <x:v>183.96</x:v>
      </x:c>
      <x:c r="K139" s="13" t="str">
        <x:v>Completed</x:v>
      </x:c>
    </x:row>
    <x:row r="140">
      <x:c r="A140" s="13" t="str">
        <x:v>O0139</x:v>
      </x:c>
      <x:c r="B140" s="36" t="n">
        <x:v>46223</x:v>
      </x:c>
      <x:c r="C140" s="13" t="str">
        <x:v>C057</x:v>
      </x:c>
      <x:c r="D140" s="13" t="str">
        <x:v>P067</x:v>
      </x:c>
      <x:c r="E140" s="13" t="str">
        <x:v>Western Canada</x:v>
      </x:c>
      <x:c r="F140" s="13" t="str">
        <x:v>Avery</x:v>
      </x:c>
      <x:c r="G140" s="13" t="n">
        <x:v>5</x:v>
      </x:c>
      <x:c r="H140" s="44" t="n">
        <x:v>39.47</x:v>
      </x:c>
      <x:c r="I140" s="38" t="n">
        <x:v>0</x:v>
      </x:c>
      <x:c r="J140" s="44" t="n">
        <x:v>197.35</x:v>
      </x:c>
      <x:c r="K140" s="13" t="str">
        <x:v>Completed</x:v>
      </x:c>
    </x:row>
    <x:row r="141">
      <x:c r="A141" s="13" t="str">
        <x:v>O0140</x:v>
      </x:c>
      <x:c r="B141" s="36" t="n">
        <x:v>46045</x:v>
      </x:c>
      <x:c r="C141" s="13" t="str">
        <x:v>C041</x:v>
      </x:c>
      <x:c r="D141" s="13" t="str">
        <x:v>P069</x:v>
      </x:c>
      <x:c r="E141" s="13" t="str">
        <x:v>Toronto</x:v>
      </x:c>
      <x:c r="F141" s="13" t="str">
        <x:v>Riley</x:v>
      </x:c>
      <x:c r="G141" s="13" t="n">
        <x:v>6</x:v>
      </x:c>
      <x:c r="H141" s="44" t="n">
        <x:v>59</x:v>
      </x:c>
      <x:c r="I141" s="38" t="n">
        <x:v>0</x:v>
      </x:c>
      <x:c r="J141" s="44" t="n">
        <x:v>354</x:v>
      </x:c>
      <x:c r="K141" s="13" t="str">
        <x:v>Completed</x:v>
      </x:c>
    </x:row>
    <x:row r="142">
      <x:c r="A142" s="13" t="str">
        <x:v>O0141</x:v>
      </x:c>
      <x:c r="B142" s="36" t="n">
        <x:v>46248</x:v>
      </x:c>
      <x:c r="C142" s="13" t="str">
        <x:v>C017</x:v>
      </x:c>
      <x:c r="D142" s="13" t="str">
        <x:v>P024</x:v>
      </x:c>
      <x:c r="E142" s="13" t="str">
        <x:v>Southwestern ON</x:v>
      </x:c>
      <x:c r="F142" s="13" t="str">
        <x:v>Avery</x:v>
      </x:c>
      <x:c r="G142" s="13" t="n">
        <x:v>4</x:v>
      </x:c>
      <x:c r="H142" s="44" t="n">
        <x:v>19.12</x:v>
      </x:c>
      <x:c r="I142" s="38" t="n">
        <x:v>0</x:v>
      </x:c>
      <x:c r="J142" s="44" t="n">
        <x:v>76.48</x:v>
      </x:c>
      <x:c r="K142" s="13" t="str">
        <x:v>Completed</x:v>
      </x:c>
    </x:row>
    <x:row r="143">
      <x:c r="A143" s="13" t="str">
        <x:v>O0142</x:v>
      </x:c>
      <x:c r="B143" s="36" t="n">
        <x:v>46211</x:v>
      </x:c>
      <x:c r="C143" s="13" t="str">
        <x:v>C080</x:v>
      </x:c>
      <x:c r="D143" s="13" t="str">
        <x:v>P044</x:v>
      </x:c>
      <x:c r="E143" s="13" t="str">
        <x:v>Southwestern ON</x:v>
      </x:c>
      <x:c r="F143" s="13" t="str">
        <x:v>Jordan</x:v>
      </x:c>
      <x:c r="G143" s="13" t="n">
        <x:v>1</x:v>
      </x:c>
      <x:c r="H143" s="44" t="n">
        <x:v>24.3</x:v>
      </x:c>
      <x:c r="I143" s="38" t="n">
        <x:v>0</x:v>
      </x:c>
      <x:c r="J143" s="44" t="n">
        <x:v>24.3</x:v>
      </x:c>
      <x:c r="K143" s="13" t="str">
        <x:v>Completed</x:v>
      </x:c>
    </x:row>
    <x:row r="144">
      <x:c r="A144" s="13" t="str">
        <x:v>O0143</x:v>
      </x:c>
      <x:c r="B144" s="36" t="n">
        <x:v>46210</x:v>
      </x:c>
      <x:c r="C144" s="13" t="str">
        <x:v>C051</x:v>
      </x:c>
      <x:c r="D144" s="13" t="str">
        <x:v>P060</x:v>
      </x:c>
      <x:c r="E144" s="13" t="str">
        <x:v>GTA West</x:v>
      </x:c>
      <x:c r="F144" s="13" t="str">
        <x:v>Riley</x:v>
      </x:c>
      <x:c r="G144" s="13" t="n">
        <x:v>1</x:v>
      </x:c>
      <x:c r="H144" s="44" t="n">
        <x:v>21.75</x:v>
      </x:c>
      <x:c r="I144" s="38" t="n">
        <x:v>0</x:v>
      </x:c>
      <x:c r="J144" s="44" t="n">
        <x:v>21.75</x:v>
      </x:c>
      <x:c r="K144" s="13" t="str">
        <x:v>Completed</x:v>
      </x:c>
    </x:row>
    <x:row r="145">
      <x:c r="A145" s="13" t="str">
        <x:v>O0144</x:v>
      </x:c>
      <x:c r="B145" s="36" t="n">
        <x:v>46085</x:v>
      </x:c>
      <x:c r="C145" s="13" t="str">
        <x:v>C116</x:v>
      </x:c>
      <x:c r="D145" s="13" t="str">
        <x:v>P035</x:v>
      </x:c>
      <x:c r="E145" s="13" t="str">
        <x:v>Western Canada</x:v>
      </x:c>
      <x:c r="F145" s="13" t="str">
        <x:v>Jordan</x:v>
      </x:c>
      <x:c r="G145" s="13" t="n">
        <x:v>12</x:v>
      </x:c>
      <x:c r="H145" s="44" t="n">
        <x:v>18.09</x:v>
      </x:c>
      <x:c r="I145" s="38" t="n">
        <x:v>0.1</x:v>
      </x:c>
      <x:c r="J145" s="44" t="n">
        <x:v>195.37</x:v>
      </x:c>
      <x:c r="K145" s="13" t="str">
        <x:v>Completed</x:v>
      </x:c>
    </x:row>
    <x:row r="146">
      <x:c r="A146" s="13" t="str">
        <x:v>O0145</x:v>
      </x:c>
      <x:c r="B146" s="36" t="n">
        <x:v>46256</x:v>
      </x:c>
      <x:c r="C146" s="13" t="str">
        <x:v>C007</x:v>
      </x:c>
      <x:c r="D146" s="13" t="str">
        <x:v>P058</x:v>
      </x:c>
      <x:c r="E146" s="13" t="str">
        <x:v>GTA West</x:v>
      </x:c>
      <x:c r="F146" s="13" t="str">
        <x:v>Avery</x:v>
      </x:c>
      <x:c r="G146" s="13" t="n">
        <x:v>11</x:v>
      </x:c>
      <x:c r="H146" s="44" t="n">
        <x:v>36.09</x:v>
      </x:c>
      <x:c r="I146" s="38" t="n">
        <x:v>0</x:v>
      </x:c>
      <x:c r="J146" s="44" t="n">
        <x:v>396.99</x:v>
      </x:c>
      <x:c r="K146" s="13" t="str">
        <x:v>Cancelled</x:v>
      </x:c>
    </x:row>
    <x:row r="147">
      <x:c r="A147" s="13" t="str">
        <x:v>O0146</x:v>
      </x:c>
      <x:c r="B147" s="36" t="n">
        <x:v>46252</x:v>
      </x:c>
      <x:c r="C147" s="13" t="str">
        <x:v>C069</x:v>
      </x:c>
      <x:c r="D147" s="13" t="str">
        <x:v>P049</x:v>
      </x:c>
      <x:c r="E147" s="13" t="str">
        <x:v>Southwestern ON</x:v>
      </x:c>
      <x:c r="F147" s="13" t="str">
        <x:v>Casey</x:v>
      </x:c>
      <x:c r="G147" s="13" t="n">
        <x:v>2</x:v>
      </x:c>
      <x:c r="H147" s="44" t="n">
        <x:v>28.04</x:v>
      </x:c>
      <x:c r="I147" s="38" t="n">
        <x:v>0</x:v>
      </x:c>
      <x:c r="J147" s="44" t="n">
        <x:v>56.08</x:v>
      </x:c>
      <x:c r="K147" s="13" t="str">
        <x:v>Completed</x:v>
      </x:c>
    </x:row>
    <x:row r="148">
      <x:c r="A148" s="13" t="str">
        <x:v>O0147</x:v>
      </x:c>
      <x:c r="B148" s="36" t="n">
        <x:v>46262</x:v>
      </x:c>
      <x:c r="C148" s="13" t="str">
        <x:v>C059</x:v>
      </x:c>
      <x:c r="D148" s="13" t="str">
        <x:v>P057</x:v>
      </x:c>
      <x:c r="E148" s="13" t="str">
        <x:v>Western Canada</x:v>
      </x:c>
      <x:c r="F148" s="13" t="str">
        <x:v>Avery</x:v>
      </x:c>
      <x:c r="G148" s="13" t="n">
        <x:v>8</x:v>
      </x:c>
      <x:c r="H148" s="44" t="n">
        <x:v>16.91</x:v>
      </x:c>
      <x:c r="I148" s="38" t="n">
        <x:v>0.05</x:v>
      </x:c>
      <x:c r="J148" s="44" t="n">
        <x:v>128.52</x:v>
      </x:c>
      <x:c r="K148" s="13" t="str">
        <x:v>Completed</x:v>
      </x:c>
    </x:row>
    <x:row r="149">
      <x:c r="A149" s="13" t="str">
        <x:v>O0148</x:v>
      </x:c>
      <x:c r="B149" s="36" t="n">
        <x:v>46230</x:v>
      </x:c>
      <x:c r="C149" s="13" t="str">
        <x:v>C076</x:v>
      </x:c>
      <x:c r="D149" s="13" t="str">
        <x:v>P033</x:v>
      </x:c>
      <x:c r="E149" s="13" t="str">
        <x:v>Western Canada</x:v>
      </x:c>
      <x:c r="F149" s="13" t="str">
        <x:v>Taylor</x:v>
      </x:c>
      <x:c r="G149" s="13" t="n">
        <x:v>11</x:v>
      </x:c>
      <x:c r="H149" s="44" t="n">
        <x:v>18.86</x:v>
      </x:c>
      <x:c r="I149" s="38" t="n">
        <x:v>0.05</x:v>
      </x:c>
      <x:c r="J149" s="44" t="n">
        <x:v>197.09</x:v>
      </x:c>
      <x:c r="K149" s="13" t="str">
        <x:v>Completed</x:v>
      </x:c>
    </x:row>
    <x:row r="150">
      <x:c r="A150" s="13" t="str">
        <x:v>O0149</x:v>
      </x:c>
      <x:c r="B150" s="36" t="n">
        <x:v>46154</x:v>
      </x:c>
      <x:c r="C150" s="13" t="str">
        <x:v>C067</x:v>
      </x:c>
      <x:c r="D150" s="13" t="str">
        <x:v>P002</x:v>
      </x:c>
      <x:c r="E150" s="13" t="str">
        <x:v>Southwestern ON</x:v>
      </x:c>
      <x:c r="F150" s="13" t="str">
        <x:v>Jordan</x:v>
      </x:c>
      <x:c r="G150" s="13" t="n">
        <x:v>6</x:v>
      </x:c>
      <x:c r="H150" s="44" t="n">
        <x:v>32.04</x:v>
      </x:c>
      <x:c r="I150" s="38" t="n">
        <x:v>0.05</x:v>
      </x:c>
      <x:c r="J150" s="44" t="n">
        <x:v>182.63</x:v>
      </x:c>
      <x:c r="K150" s="13" t="str">
        <x:v>Completed</x:v>
      </x:c>
    </x:row>
    <x:row r="151">
      <x:c r="A151" s="13" t="str">
        <x:v>O0150</x:v>
      </x:c>
      <x:c r="B151" s="36" t="n">
        <x:v>46255</x:v>
      </x:c>
      <x:c r="C151" s="13" t="str">
        <x:v>C088</x:v>
      </x:c>
      <x:c r="D151" s="13" t="str">
        <x:v>P062</x:v>
      </x:c>
      <x:c r="E151" s="13" t="str">
        <x:v>Southwestern ON</x:v>
      </x:c>
      <x:c r="F151" s="13" t="str">
        <x:v>Casey</x:v>
      </x:c>
      <x:c r="G151" s="13" t="n">
        <x:v>3</x:v>
      </x:c>
      <x:c r="H151" s="44" t="n">
        <x:v>87.5</x:v>
      </x:c>
      <x:c r="I151" s="38" t="n">
        <x:v>0.05</x:v>
      </x:c>
      <x:c r="J151" s="44" t="n">
        <x:v>249.38</x:v>
      </x:c>
      <x:c r="K151" s="13" t="str">
        <x:v>Completed</x:v>
      </x:c>
    </x:row>
    <x:row r="152">
      <x:c r="A152" s="13" t="str">
        <x:v>O0151</x:v>
      </x:c>
      <x:c r="B152" s="36" t="n">
        <x:v>46194</x:v>
      </x:c>
      <x:c r="C152" s="13" t="str">
        <x:v>C038</x:v>
      </x:c>
      <x:c r="D152" s="13" t="str">
        <x:v>P051</x:v>
      </x:c>
      <x:c r="E152" s="13" t="str">
        <x:v>Western Canada</x:v>
      </x:c>
      <x:c r="F152" s="13" t="str">
        <x:v>Jordan</x:v>
      </x:c>
      <x:c r="G152" s="13" t="n">
        <x:v>7</x:v>
      </x:c>
      <x:c r="H152" s="44" t="n">
        <x:v>33.88</x:v>
      </x:c>
      <x:c r="I152" s="38" t="n">
        <x:v>0.15</x:v>
      </x:c>
      <x:c r="J152" s="44" t="n">
        <x:v>201.59</x:v>
      </x:c>
      <x:c r="K152" s="13" t="str">
        <x:v>Completed</x:v>
      </x:c>
    </x:row>
    <x:row r="153">
      <x:c r="A153" s="13" t="str">
        <x:v>O0152</x:v>
      </x:c>
      <x:c r="B153" s="36" t="n">
        <x:v>46099</x:v>
      </x:c>
      <x:c r="C153" s="13" t="str">
        <x:v>C081</x:v>
      </x:c>
      <x:c r="D153" s="13" t="str">
        <x:v>P071</x:v>
      </x:c>
      <x:c r="E153" s="13" t="str">
        <x:v>GTA West</x:v>
      </x:c>
      <x:c r="F153" s="13" t="str">
        <x:v>Riley</x:v>
      </x:c>
      <x:c r="G153" s="13" t="n">
        <x:v>5</x:v>
      </x:c>
      <x:c r="H153" s="44" t="n">
        <x:v>66.69</x:v>
      </x:c>
      <x:c r="I153" s="38" t="n">
        <x:v>0</x:v>
      </x:c>
      <x:c r="J153" s="44" t="n">
        <x:v>333.45</x:v>
      </x:c>
      <x:c r="K153" s="13" t="str">
        <x:v>Completed</x:v>
      </x:c>
    </x:row>
    <x:row r="154">
      <x:c r="A154" s="13" t="str">
        <x:v>O0153</x:v>
      </x:c>
      <x:c r="B154" s="36" t="n">
        <x:v>46184</x:v>
      </x:c>
      <x:c r="C154" s="13" t="str">
        <x:v>C024</x:v>
      </x:c>
      <x:c r="D154" s="13" t="str">
        <x:v>P074</x:v>
      </x:c>
      <x:c r="E154" s="13" t="str">
        <x:v>Southwestern ON</x:v>
      </x:c>
      <x:c r="F154" s="13" t="str">
        <x:v>Morgan</x:v>
      </x:c>
      <x:c r="G154" s="13" t="n">
        <x:v>6</x:v>
      </x:c>
      <x:c r="H154" s="44" t="n">
        <x:v>24.37</x:v>
      </x:c>
      <x:c r="I154" s="38" t="n">
        <x:v>0</x:v>
      </x:c>
      <x:c r="J154" s="44" t="n">
        <x:v>146.22</x:v>
      </x:c>
      <x:c r="K154" s="13" t="str">
        <x:v>Pending</x:v>
      </x:c>
    </x:row>
    <x:row r="155">
      <x:c r="A155" s="13" t="str">
        <x:v>O0154</x:v>
      </x:c>
      <x:c r="B155" s="36" t="n">
        <x:v>46118</x:v>
      </x:c>
      <x:c r="C155" s="13" t="str">
        <x:v>C025</x:v>
      </x:c>
      <x:c r="D155" s="13" t="str">
        <x:v>P062</x:v>
      </x:c>
      <x:c r="E155" s="13" t="str">
        <x:v>GTA West</x:v>
      </x:c>
      <x:c r="F155" s="13" t="str">
        <x:v>Morgan</x:v>
      </x:c>
      <x:c r="G155" s="13" t="n">
        <x:v>1</x:v>
      </x:c>
      <x:c r="H155" s="44" t="n">
        <x:v>87.5</x:v>
      </x:c>
      <x:c r="I155" s="38" t="n">
        <x:v>0</x:v>
      </x:c>
      <x:c r="J155" s="44" t="n">
        <x:v>87.5</x:v>
      </x:c>
      <x:c r="K155" s="13" t="str">
        <x:v>Pending</x:v>
      </x:c>
    </x:row>
    <x:row r="156">
      <x:c r="A156" s="13" t="str">
        <x:v>O0155</x:v>
      </x:c>
      <x:c r="B156" s="36" t="n">
        <x:v>46072</x:v>
      </x:c>
      <x:c r="C156" s="13" t="str">
        <x:v>C114</x:v>
      </x:c>
      <x:c r="D156" s="13" t="str">
        <x:v>P014</x:v>
      </x:c>
      <x:c r="E156" s="13" t="str">
        <x:v>GTA West</x:v>
      </x:c>
      <x:c r="F156" s="13" t="str">
        <x:v>Casey</x:v>
      </x:c>
      <x:c r="G156" s="13" t="n">
        <x:v>10</x:v>
      </x:c>
      <x:c r="H156" s="44" t="n">
        <x:v>21.79</x:v>
      </x:c>
      <x:c r="I156" s="38" t="n">
        <x:v>0</x:v>
      </x:c>
      <x:c r="J156" s="44" t="n">
        <x:v>217.9</x:v>
      </x:c>
      <x:c r="K156" s="13" t="str">
        <x:v>Completed</x:v>
      </x:c>
    </x:row>
    <x:row r="157">
      <x:c r="A157" s="13" t="str">
        <x:v>O0156</x:v>
      </x:c>
      <x:c r="B157" s="36" t="n">
        <x:v>46081</x:v>
      </x:c>
      <x:c r="C157" s="13" t="str">
        <x:v>C020</x:v>
      </x:c>
      <x:c r="D157" s="13" t="str">
        <x:v>P048</x:v>
      </x:c>
      <x:c r="E157" s="13" t="str">
        <x:v>GTA West</x:v>
      </x:c>
      <x:c r="F157" s="13" t="str">
        <x:v>Casey</x:v>
      </x:c>
      <x:c r="G157" s="13" t="n">
        <x:v>8</x:v>
      </x:c>
      <x:c r="H157" s="44" t="n">
        <x:v>29.97</x:v>
      </x:c>
      <x:c r="I157" s="38" t="n">
        <x:v>0</x:v>
      </x:c>
      <x:c r="J157" s="44" t="n">
        <x:v>239.76</x:v>
      </x:c>
      <x:c r="K157" s="13" t="str">
        <x:v>Pending</x:v>
      </x:c>
    </x:row>
    <x:row r="158">
      <x:c r="A158" s="13" t="str">
        <x:v>O0157</x:v>
      </x:c>
      <x:c r="B158" s="36" t="n">
        <x:v>46171</x:v>
      </x:c>
      <x:c r="C158" s="13" t="str">
        <x:v>C013</x:v>
      </x:c>
      <x:c r="D158" s="13" t="str">
        <x:v>P062</x:v>
      </x:c>
      <x:c r="E158" s="13" t="str">
        <x:v>Ottawa</x:v>
      </x:c>
      <x:c r="F158" s="13" t="str">
        <x:v>Avery</x:v>
      </x:c>
      <x:c r="G158" s="13" t="n">
        <x:v>9</x:v>
      </x:c>
      <x:c r="H158" s="44" t="n">
        <x:v>87.5</x:v>
      </x:c>
      <x:c r="I158" s="38" t="n">
        <x:v>0.05</x:v>
      </x:c>
      <x:c r="J158" s="44" t="n">
        <x:v>748.12</x:v>
      </x:c>
      <x:c r="K158" s="13" t="str">
        <x:v>Cancelled</x:v>
      </x:c>
    </x:row>
    <x:row r="159">
      <x:c r="A159" s="13" t="str">
        <x:v>O0158</x:v>
      </x:c>
      <x:c r="B159" s="36" t="n">
        <x:v>46264</x:v>
      </x:c>
      <x:c r="C159" s="13" t="str">
        <x:v>C028</x:v>
      </x:c>
      <x:c r="D159" s="13" t="str">
        <x:v>P071</x:v>
      </x:c>
      <x:c r="E159" s="13" t="str">
        <x:v>Western Canada</x:v>
      </x:c>
      <x:c r="F159" s="13" t="str">
        <x:v>Riley</x:v>
      </x:c>
      <x:c r="G159" s="13" t="n">
        <x:v>2</x:v>
      </x:c>
      <x:c r="H159" s="44" t="n">
        <x:v>66.69</x:v>
      </x:c>
      <x:c r="I159" s="38" t="n">
        <x:v>0.1</x:v>
      </x:c>
      <x:c r="J159" s="44" t="n">
        <x:v>120.04</x:v>
      </x:c>
      <x:c r="K159" s="13" t="str">
        <x:v>Completed</x:v>
      </x:c>
    </x:row>
    <x:row r="160">
      <x:c r="A160" s="13" t="str">
        <x:v>O0159</x:v>
      </x:c>
      <x:c r="B160" s="36" t="n">
        <x:v>46263</x:v>
      </x:c>
      <x:c r="C160" s="13" t="str">
        <x:v>C066</x:v>
      </x:c>
      <x:c r="D160" s="13" t="str">
        <x:v>P013</x:v>
      </x:c>
      <x:c r="E160" s="13" t="str">
        <x:v>GTA West</x:v>
      </x:c>
      <x:c r="F160" s="13" t="str">
        <x:v>Jordan</x:v>
      </x:c>
      <x:c r="G160" s="13" t="n">
        <x:v>5</x:v>
      </x:c>
      <x:c r="H160" s="44" t="n">
        <x:v>12.07</x:v>
      </x:c>
      <x:c r="I160" s="38" t="n">
        <x:v>0.15</x:v>
      </x:c>
      <x:c r="J160" s="44" t="n">
        <x:v>51.3</x:v>
      </x:c>
      <x:c r="K160" s="13" t="str">
        <x:v>Completed</x:v>
      </x:c>
    </x:row>
    <x:row r="161">
      <x:c r="A161" s="13" t="str">
        <x:v>O0160</x:v>
      </x:c>
      <x:c r="B161" s="36" t="n">
        <x:v>46028</x:v>
      </x:c>
      <x:c r="C161" s="13" t="str">
        <x:v>C062</x:v>
      </x:c>
      <x:c r="D161" s="13" t="str">
        <x:v>P045</x:v>
      </x:c>
      <x:c r="E161" s="13" t="str">
        <x:v>GTA West</x:v>
      </x:c>
      <x:c r="F161" s="13" t="str">
        <x:v>Morgan</x:v>
      </x:c>
      <x:c r="G161" s="13" t="n">
        <x:v>7</x:v>
      </x:c>
      <x:c r="H161" s="44" t="n">
        <x:v>13.92</x:v>
      </x:c>
      <x:c r="I161" s="38" t="n">
        <x:v>0.15</x:v>
      </x:c>
      <x:c r="J161" s="44" t="n">
        <x:v>82.82</x:v>
      </x:c>
      <x:c r="K161" s="13" t="str">
        <x:v>Pending</x:v>
      </x:c>
    </x:row>
    <x:row r="162">
      <x:c r="A162" s="13" t="str">
        <x:v>O0161</x:v>
      </x:c>
      <x:c r="B162" s="36" t="n">
        <x:v>46191</x:v>
      </x:c>
      <x:c r="C162" s="13" t="str">
        <x:v>C062</x:v>
      </x:c>
      <x:c r="D162" s="13" t="str">
        <x:v>P070</x:v>
      </x:c>
      <x:c r="E162" s="13" t="str">
        <x:v>GTA West</x:v>
      </x:c>
      <x:c r="F162" s="13" t="str">
        <x:v>Avery</x:v>
      </x:c>
      <x:c r="G162" s="13" t="n">
        <x:v>11</x:v>
      </x:c>
      <x:c r="H162" s="44" t="n">
        <x:v>36.65</x:v>
      </x:c>
      <x:c r="I162" s="38" t="n">
        <x:v>0.05</x:v>
      </x:c>
      <x:c r="J162" s="44" t="n">
        <x:v>382.99</x:v>
      </x:c>
      <x:c r="K162" s="13" t="str">
        <x:v>Completed</x:v>
      </x:c>
    </x:row>
    <x:row r="163">
      <x:c r="A163" s="13" t="str">
        <x:v>O0162</x:v>
      </x:c>
      <x:c r="B163" s="36" t="n">
        <x:v>46130</x:v>
      </x:c>
      <x:c r="C163" s="13" t="str">
        <x:v>C057</x:v>
      </x:c>
      <x:c r="D163" s="13" t="str">
        <x:v>P064</x:v>
      </x:c>
      <x:c r="E163" s="13" t="str">
        <x:v>GTA West</x:v>
      </x:c>
      <x:c r="F163" s="13" t="str">
        <x:v>Casey</x:v>
      </x:c>
      <x:c r="G163" s="13" t="n">
        <x:v>12</x:v>
      </x:c>
      <x:c r="H163" s="44" t="n">
        <x:v>36.07</x:v>
      </x:c>
      <x:c r="I163" s="38" t="n">
        <x:v>0.05</x:v>
      </x:c>
      <x:c r="J163" s="44" t="n">
        <x:v>411.2</x:v>
      </x:c>
      <x:c r="K163" s="13" t="str">
        <x:v>Completed</x:v>
      </x:c>
    </x:row>
    <x:row r="164">
      <x:c r="A164" s="13" t="str">
        <x:v>O0163</x:v>
      </x:c>
      <x:c r="B164" s="36" t="n">
        <x:v>46163</x:v>
      </x:c>
      <x:c r="C164" s="13" t="str">
        <x:v>C084</x:v>
      </x:c>
      <x:c r="D164" s="13" t="str">
        <x:v>P023</x:v>
      </x:c>
      <x:c r="E164" s="13" t="str">
        <x:v>Ottawa</x:v>
      </x:c>
      <x:c r="F164" s="13" t="str">
        <x:v>Avery</x:v>
      </x:c>
      <x:c r="G164" s="13" t="n">
        <x:v>2</x:v>
      </x:c>
      <x:c r="H164" s="44" t="n">
        <x:v>27.81</x:v>
      </x:c>
      <x:c r="I164" s="38" t="n">
        <x:v>0.1</x:v>
      </x:c>
      <x:c r="J164" s="44" t="n">
        <x:v>50.06</x:v>
      </x:c>
      <x:c r="K164" s="13" t="str">
        <x:v>Cancelled</x:v>
      </x:c>
    </x:row>
    <x:row r="165">
      <x:c r="A165" s="13" t="str">
        <x:v>O0164</x:v>
      </x:c>
      <x:c r="B165" s="36" t="n">
        <x:v>46027</x:v>
      </x:c>
      <x:c r="C165" s="13" t="str">
        <x:v>C134</x:v>
      </x:c>
      <x:c r="D165" s="13" t="str">
        <x:v>P019</x:v>
      </x:c>
      <x:c r="E165" s="13" t="str">
        <x:v>GTA West</x:v>
      </x:c>
      <x:c r="F165" s="13" t="str">
        <x:v>Jordan</x:v>
      </x:c>
      <x:c r="G165" s="13" t="n">
        <x:v>10</x:v>
      </x:c>
      <x:c r="H165" s="44" t="n">
        <x:v>30.91</x:v>
      </x:c>
      <x:c r="I165" s="38" t="n">
        <x:v>0.15</x:v>
      </x:c>
      <x:c r="J165" s="44" t="n">
        <x:v>262.74</x:v>
      </x:c>
      <x:c r="K165" s="13" t="str">
        <x:v>Completed</x:v>
      </x:c>
    </x:row>
    <x:row r="166">
      <x:c r="A166" s="13" t="str">
        <x:v>O0165</x:v>
      </x:c>
      <x:c r="B166" s="36" t="n">
        <x:v>46035</x:v>
      </x:c>
      <x:c r="C166" s="13" t="str">
        <x:v>C129</x:v>
      </x:c>
      <x:c r="D166" s="13" t="str">
        <x:v>P011</x:v>
      </x:c>
      <x:c r="E166" s="13" t="str">
        <x:v>Toronto</x:v>
      </x:c>
      <x:c r="F166" s="13" t="str">
        <x:v>Jordan</x:v>
      </x:c>
      <x:c r="G166" s="13" t="n">
        <x:v>12</x:v>
      </x:c>
      <x:c r="H166" s="44" t="n">
        <x:v>32.78</x:v>
      </x:c>
      <x:c r="I166" s="38" t="n">
        <x:v>0</x:v>
      </x:c>
      <x:c r="J166" s="44" t="n">
        <x:v>393.36</x:v>
      </x:c>
      <x:c r="K166" s="13" t="str">
        <x:v>Completed</x:v>
      </x:c>
    </x:row>
    <x:row r="167">
      <x:c r="A167" s="13" t="str">
        <x:v>O0166</x:v>
      </x:c>
      <x:c r="B167" s="36" t="n">
        <x:v>46052</x:v>
      </x:c>
      <x:c r="C167" s="13" t="str">
        <x:v>C084</x:v>
      </x:c>
      <x:c r="D167" s="13" t="str">
        <x:v>P039</x:v>
      </x:c>
      <x:c r="E167" s="13" t="str">
        <x:v>Ottawa</x:v>
      </x:c>
      <x:c r="F167" s="13" t="str">
        <x:v>Morgan</x:v>
      </x:c>
      <x:c r="G167" s="13" t="n">
        <x:v>3</x:v>
      </x:c>
      <x:c r="H167" s="44" t="n">
        <x:v>14.42</x:v>
      </x:c>
      <x:c r="I167" s="38" t="n">
        <x:v>0.05</x:v>
      </x:c>
      <x:c r="J167" s="44" t="n">
        <x:v>41.1</x:v>
      </x:c>
      <x:c r="K167" s="13" t="str">
        <x:v>Cancelled</x:v>
      </x:c>
    </x:row>
    <x:row r="168">
      <x:c r="A168" s="13" t="str">
        <x:v>O0167</x:v>
      </x:c>
      <x:c r="B168" s="36" t="n">
        <x:v>46055</x:v>
      </x:c>
      <x:c r="C168" s="13" t="str">
        <x:v>C036</x:v>
      </x:c>
      <x:c r="D168" s="13" t="str">
        <x:v>P048</x:v>
      </x:c>
      <x:c r="E168" s="13" t="str">
        <x:v>Southwestern ON</x:v>
      </x:c>
      <x:c r="F168" s="13" t="str">
        <x:v>Morgan</x:v>
      </x:c>
      <x:c r="G168" s="13" t="n">
        <x:v>8</x:v>
      </x:c>
      <x:c r="H168" s="44" t="n">
        <x:v>29.97</x:v>
      </x:c>
      <x:c r="I168" s="38" t="n">
        <x:v>0</x:v>
      </x:c>
      <x:c r="J168" s="44" t="n">
        <x:v>239.76</x:v>
      </x:c>
      <x:c r="K168" s="13" t="str">
        <x:v>Completed</x:v>
      </x:c>
    </x:row>
    <x:row r="169">
      <x:c r="A169" s="13" t="str">
        <x:v>O0168</x:v>
      </x:c>
      <x:c r="B169" s="36" t="n">
        <x:v>46111</x:v>
      </x:c>
      <x:c r="C169" s="13" t="str">
        <x:v>C066</x:v>
      </x:c>
      <x:c r="D169" s="13" t="str">
        <x:v>P065</x:v>
      </x:c>
      <x:c r="E169" s="13" t="str">
        <x:v>Ottawa</x:v>
      </x:c>
      <x:c r="F169" s="13" t="str">
        <x:v>Riley</x:v>
      </x:c>
      <x:c r="G169" s="13" t="n">
        <x:v>10</x:v>
      </x:c>
      <x:c r="H169" s="44" t="n">
        <x:v>31.76</x:v>
      </x:c>
      <x:c r="I169" s="38" t="n">
        <x:v>0.05</x:v>
      </x:c>
      <x:c r="J169" s="44" t="n">
        <x:v>301.72</x:v>
      </x:c>
      <x:c r="K169" s="13" t="str">
        <x:v>Completed</x:v>
      </x:c>
    </x:row>
    <x:row r="170">
      <x:c r="A170" s="13" t="str">
        <x:v>O0169</x:v>
      </x:c>
      <x:c r="B170" s="36" t="n">
        <x:v>46174</x:v>
      </x:c>
      <x:c r="C170" s="13" t="str">
        <x:v>C132</x:v>
      </x:c>
      <x:c r="D170" s="13" t="str">
        <x:v>P073</x:v>
      </x:c>
      <x:c r="E170" s="13" t="str">
        <x:v>Toronto</x:v>
      </x:c>
      <x:c r="F170" s="13" t="str">
        <x:v>Morgan</x:v>
      </x:c>
      <x:c r="G170" s="13" t="n">
        <x:v>8</x:v>
      </x:c>
      <x:c r="H170" s="44" t="n">
        <x:v>78.14</x:v>
      </x:c>
      <x:c r="I170" s="38" t="n">
        <x:v>0.1</x:v>
      </x:c>
      <x:c r="J170" s="44" t="n">
        <x:v>562.61</x:v>
      </x:c>
      <x:c r="K170" s="13" t="str">
        <x:v>Completed</x:v>
      </x:c>
    </x:row>
    <x:row r="171">
      <x:c r="A171" s="13" t="str">
        <x:v>O0170</x:v>
      </x:c>
      <x:c r="B171" s="36" t="n">
        <x:v>46221</x:v>
      </x:c>
      <x:c r="C171" s="13" t="str">
        <x:v>C079</x:v>
      </x:c>
      <x:c r="D171" s="13" t="str">
        <x:v>P030</x:v>
      </x:c>
      <x:c r="E171" s="13" t="str">
        <x:v>Southwestern ON</x:v>
      </x:c>
      <x:c r="F171" s="13" t="str">
        <x:v>Riley</x:v>
      </x:c>
      <x:c r="G171" s="13" t="n">
        <x:v>10</x:v>
      </x:c>
      <x:c r="H171" s="44" t="n">
        <x:v>10.76</x:v>
      </x:c>
      <x:c r="I171" s="38" t="n">
        <x:v>0.05</x:v>
      </x:c>
      <x:c r="J171" s="44" t="n">
        <x:v>102.22</x:v>
      </x:c>
      <x:c r="K171" s="13" t="str">
        <x:v>Completed</x:v>
      </x:c>
    </x:row>
    <x:row r="172">
      <x:c r="A172" s="13" t="str">
        <x:v>O0171</x:v>
      </x:c>
      <x:c r="B172" s="36" t="n">
        <x:v>46043</x:v>
      </x:c>
      <x:c r="C172" s="13" t="str">
        <x:v>C029</x:v>
      </x:c>
      <x:c r="D172" s="13" t="str">
        <x:v>P022</x:v>
      </x:c>
      <x:c r="E172" s="13" t="str">
        <x:v>GTA West</x:v>
      </x:c>
      <x:c r="F172" s="13" t="str">
        <x:v>Casey</x:v>
      </x:c>
      <x:c r="G172" s="13" t="n">
        <x:v>12</x:v>
      </x:c>
      <x:c r="H172" s="44" t="n">
        <x:v>25.34</x:v>
      </x:c>
      <x:c r="I172" s="38" t="n">
        <x:v>0.1</x:v>
      </x:c>
      <x:c r="J172" s="44" t="n">
        <x:v>273.67</x:v>
      </x:c>
      <x:c r="K172" s="13" t="str">
        <x:v>Cancelled</x:v>
      </x:c>
    </x:row>
    <x:row r="173">
      <x:c r="A173" s="13" t="str">
        <x:v>O0172</x:v>
      </x:c>
      <x:c r="B173" s="36" t="n">
        <x:v>46257</x:v>
      </x:c>
      <x:c r="C173" s="13" t="str">
        <x:v>C001</x:v>
      </x:c>
      <x:c r="D173" s="13" t="str">
        <x:v>P070</x:v>
      </x:c>
      <x:c r="E173" s="13" t="str">
        <x:v>Southwestern ON</x:v>
      </x:c>
      <x:c r="F173" s="13" t="str">
        <x:v>Avery</x:v>
      </x:c>
      <x:c r="G173" s="13" t="n">
        <x:v>10</x:v>
      </x:c>
      <x:c r="H173" s="44" t="n">
        <x:v>36.65</x:v>
      </x:c>
      <x:c r="I173" s="38" t="n">
        <x:v>0</x:v>
      </x:c>
      <x:c r="J173" s="44" t="n">
        <x:v>366.5</x:v>
      </x:c>
      <x:c r="K173" s="13" t="str">
        <x:v>Completed</x:v>
      </x:c>
    </x:row>
    <x:row r="174">
      <x:c r="A174" s="13" t="str">
        <x:v>O0173</x:v>
      </x:c>
      <x:c r="B174" s="36" t="n">
        <x:v>46062</x:v>
      </x:c>
      <x:c r="C174" s="13" t="str">
        <x:v>C025</x:v>
      </x:c>
      <x:c r="D174" s="13" t="str">
        <x:v>P021</x:v>
      </x:c>
      <x:c r="E174" s="13" t="str">
        <x:v>Southwestern ON</x:v>
      </x:c>
      <x:c r="F174" s="13" t="str">
        <x:v>Morgan</x:v>
      </x:c>
      <x:c r="G174" s="13" t="n">
        <x:v>9</x:v>
      </x:c>
      <x:c r="H174" s="44" t="n">
        <x:v>33.53</x:v>
      </x:c>
      <x:c r="I174" s="38" t="n">
        <x:v>0.1</x:v>
      </x:c>
      <x:c r="J174" s="44" t="n">
        <x:v>271.59</x:v>
      </x:c>
      <x:c r="K174" s="13" t="str">
        <x:v>Completed</x:v>
      </x:c>
    </x:row>
    <x:row r="175">
      <x:c r="A175" s="13" t="str">
        <x:v>O0174</x:v>
      </x:c>
      <x:c r="B175" s="36" t="n">
        <x:v>46262</x:v>
      </x:c>
      <x:c r="C175" s="13" t="str">
        <x:v>C089</x:v>
      </x:c>
      <x:c r="D175" s="13" t="str">
        <x:v>P017</x:v>
      </x:c>
      <x:c r="E175" s="13" t="str">
        <x:v>Ottawa</x:v>
      </x:c>
      <x:c r="F175" s="13" t="str">
        <x:v>Morgan</x:v>
      </x:c>
      <x:c r="G175" s="13" t="n">
        <x:v>2</x:v>
      </x:c>
      <x:c r="H175" s="44" t="n">
        <x:v>10.74</x:v>
      </x:c>
      <x:c r="I175" s="38" t="n">
        <x:v>0</x:v>
      </x:c>
      <x:c r="J175" s="44" t="n">
        <x:v>21.48</x:v>
      </x:c>
      <x:c r="K175" s="13" t="str">
        <x:v>Pending</x:v>
      </x:c>
    </x:row>
    <x:row r="176">
      <x:c r="A176" s="13" t="str">
        <x:v>O0175</x:v>
      </x:c>
      <x:c r="B176" s="36" t="n">
        <x:v>46231</x:v>
      </x:c>
      <x:c r="C176" s="13" t="str">
        <x:v>C132</x:v>
      </x:c>
      <x:c r="D176" s="13" t="str">
        <x:v>P067</x:v>
      </x:c>
      <x:c r="E176" s="13" t="str">
        <x:v>Ottawa</x:v>
      </x:c>
      <x:c r="F176" s="13" t="str">
        <x:v>Riley</x:v>
      </x:c>
      <x:c r="G176" s="13" t="n">
        <x:v>4</x:v>
      </x:c>
      <x:c r="H176" s="44" t="n">
        <x:v>39.47</x:v>
      </x:c>
      <x:c r="I176" s="38" t="n">
        <x:v>0.05</x:v>
      </x:c>
      <x:c r="J176" s="44" t="n">
        <x:v>149.99</x:v>
      </x:c>
      <x:c r="K176" s="13" t="str">
        <x:v>Completed</x:v>
      </x:c>
    </x:row>
    <x:row r="177">
      <x:c r="A177" s="13" t="str">
        <x:v>O0176</x:v>
      </x:c>
      <x:c r="B177" s="36" t="n">
        <x:v>46057</x:v>
      </x:c>
      <x:c r="C177" s="13" t="str">
        <x:v>C138</x:v>
      </x:c>
      <x:c r="D177" s="13" t="str">
        <x:v>P042</x:v>
      </x:c>
      <x:c r="E177" s="13" t="str">
        <x:v>GTA West</x:v>
      </x:c>
      <x:c r="F177" s="13" t="str">
        <x:v>Avery</x:v>
      </x:c>
      <x:c r="G177" s="13" t="n">
        <x:v>9</x:v>
      </x:c>
      <x:c r="H177" s="44" t="n">
        <x:v>26.28</x:v>
      </x:c>
      <x:c r="I177" s="38" t="n">
        <x:v>0</x:v>
      </x:c>
      <x:c r="J177" s="44" t="n">
        <x:v>236.52</x:v>
      </x:c>
      <x:c r="K177" s="13" t="str">
        <x:v>Completed</x:v>
      </x:c>
    </x:row>
    <x:row r="178">
      <x:c r="A178" s="13" t="str">
        <x:v>O0177</x:v>
      </x:c>
      <x:c r="B178" s="36" t="n">
        <x:v>46110</x:v>
      </x:c>
      <x:c r="C178" s="13" t="str">
        <x:v>C073</x:v>
      </x:c>
      <x:c r="D178" s="13" t="str">
        <x:v>P072</x:v>
      </x:c>
      <x:c r="E178" s="13" t="str">
        <x:v>Southwestern ON</x:v>
      </x:c>
      <x:c r="F178" s="13" t="str">
        <x:v>Morgan</x:v>
      </x:c>
      <x:c r="G178" s="13" t="n">
        <x:v>12</x:v>
      </x:c>
      <x:c r="H178" s="44" t="n">
        <x:v>38.37</x:v>
      </x:c>
      <x:c r="I178" s="38" t="n">
        <x:v>0.05</x:v>
      </x:c>
      <x:c r="J178" s="44" t="n">
        <x:v>437.42</x:v>
      </x:c>
      <x:c r="K178" s="13" t="str">
        <x:v>Completed</x:v>
      </x:c>
    </x:row>
    <x:row r="179">
      <x:c r="A179" s="13" t="str">
        <x:v>O0178</x:v>
      </x:c>
      <x:c r="B179" s="36" t="n">
        <x:v>46262</x:v>
      </x:c>
      <x:c r="C179" s="13" t="str">
        <x:v>C069</x:v>
      </x:c>
      <x:c r="D179" s="13" t="str">
        <x:v>P069</x:v>
      </x:c>
      <x:c r="E179" s="13" t="str">
        <x:v>GTA West</x:v>
      </x:c>
      <x:c r="F179" s="13" t="str">
        <x:v>Taylor</x:v>
      </x:c>
      <x:c r="G179" s="13" t="n">
        <x:v>7</x:v>
      </x:c>
      <x:c r="H179" s="44" t="n">
        <x:v>59</x:v>
      </x:c>
      <x:c r="I179" s="38" t="n">
        <x:v>0.1</x:v>
      </x:c>
      <x:c r="J179" s="44" t="n">
        <x:v>371.7</x:v>
      </x:c>
      <x:c r="K179" s="13" t="str">
        <x:v>Completed</x:v>
      </x:c>
    </x:row>
    <x:row r="180">
      <x:c r="A180" s="13" t="str">
        <x:v>O0179</x:v>
      </x:c>
      <x:c r="B180" s="36" t="n">
        <x:v>46203</x:v>
      </x:c>
      <x:c r="C180" s="13" t="str">
        <x:v>C043</x:v>
      </x:c>
      <x:c r="D180" s="13" t="str">
        <x:v>P071</x:v>
      </x:c>
      <x:c r="E180" s="13" t="str">
        <x:v>Ottawa</x:v>
      </x:c>
      <x:c r="F180" s="13" t="str">
        <x:v>Taylor</x:v>
      </x:c>
      <x:c r="G180" s="13" t="n">
        <x:v>10</x:v>
      </x:c>
      <x:c r="H180" s="44" t="n">
        <x:v>66.69</x:v>
      </x:c>
      <x:c r="I180" s="38" t="n">
        <x:v>0.05</x:v>
      </x:c>
      <x:c r="J180" s="44" t="n">
        <x:v>633.55</x:v>
      </x:c>
      <x:c r="K180" s="13" t="str">
        <x:v>Completed</x:v>
      </x:c>
    </x:row>
    <x:row r="181">
      <x:c r="A181" s="13" t="str">
        <x:v>O0180</x:v>
      </x:c>
      <x:c r="B181" s="36" t="n">
        <x:v>46172</x:v>
      </x:c>
      <x:c r="C181" s="13" t="str">
        <x:v>C076</x:v>
      </x:c>
      <x:c r="D181" s="13" t="str">
        <x:v>P072</x:v>
      </x:c>
      <x:c r="E181" s="13" t="str">
        <x:v>Ottawa</x:v>
      </x:c>
      <x:c r="F181" s="13" t="str">
        <x:v>Avery</x:v>
      </x:c>
      <x:c r="G181" s="13" t="n">
        <x:v>5</x:v>
      </x:c>
      <x:c r="H181" s="44" t="n">
        <x:v>38.37</x:v>
      </x:c>
      <x:c r="I181" s="38" t="n">
        <x:v>0.05</x:v>
      </x:c>
      <x:c r="J181" s="44" t="n">
        <x:v>182.26</x:v>
      </x:c>
      <x:c r="K181" s="13" t="str">
        <x:v>Completed</x:v>
      </x:c>
    </x:row>
    <x:row r="182">
      <x:c r="A182" s="13" t="str">
        <x:v>O0181</x:v>
      </x:c>
      <x:c r="B182" s="36" t="n">
        <x:v>46253</x:v>
      </x:c>
      <x:c r="C182" s="13" t="str">
        <x:v>C005</x:v>
      </x:c>
      <x:c r="D182" s="13" t="str">
        <x:v>P023</x:v>
      </x:c>
      <x:c r="E182" s="13" t="str">
        <x:v>Southwestern ON</x:v>
      </x:c>
      <x:c r="F182" s="13" t="str">
        <x:v>Casey</x:v>
      </x:c>
      <x:c r="G182" s="13" t="n">
        <x:v>2</x:v>
      </x:c>
      <x:c r="H182" s="44" t="n">
        <x:v>27.81</x:v>
      </x:c>
      <x:c r="I182" s="38" t="n">
        <x:v>0</x:v>
      </x:c>
      <x:c r="J182" s="44" t="n">
        <x:v>55.62</x:v>
      </x:c>
      <x:c r="K182" s="13" t="str">
        <x:v>Completed</x:v>
      </x:c>
    </x:row>
    <x:row r="183">
      <x:c r="A183" s="13" t="str">
        <x:v>O0182</x:v>
      </x:c>
      <x:c r="B183" s="36" t="n">
        <x:v>46148</x:v>
      </x:c>
      <x:c r="C183" s="13" t="str">
        <x:v>C067</x:v>
      </x:c>
      <x:c r="D183" s="13" t="str">
        <x:v>P050</x:v>
      </x:c>
      <x:c r="E183" s="13" t="str">
        <x:v>Western Canada</x:v>
      </x:c>
      <x:c r="F183" s="13" t="str">
        <x:v>Morgan</x:v>
      </x:c>
      <x:c r="G183" s="13" t="n">
        <x:v>9</x:v>
      </x:c>
      <x:c r="H183" s="44" t="n">
        <x:v>21.74</x:v>
      </x:c>
      <x:c r="I183" s="38" t="n">
        <x:v>0.1</x:v>
      </x:c>
      <x:c r="J183" s="44" t="n">
        <x:v>176.09</x:v>
      </x:c>
      <x:c r="K183" s="13" t="str">
        <x:v>Cancelled</x:v>
      </x:c>
    </x:row>
    <x:row r="184">
      <x:c r="A184" s="13" t="str">
        <x:v>O0183</x:v>
      </x:c>
      <x:c r="B184" s="36" t="n">
        <x:v>46237</x:v>
      </x:c>
      <x:c r="C184" s="13" t="str">
        <x:v>C134</x:v>
      </x:c>
      <x:c r="D184" s="13" t="str">
        <x:v>P007</x:v>
      </x:c>
      <x:c r="E184" s="13" t="str">
        <x:v>Toronto</x:v>
      </x:c>
      <x:c r="F184" s="13" t="str">
        <x:v>Taylor</x:v>
      </x:c>
      <x:c r="G184" s="13" t="n">
        <x:v>12</x:v>
      </x:c>
      <x:c r="H184" s="44" t="n">
        <x:v>31.23</x:v>
      </x:c>
      <x:c r="I184" s="38" t="n">
        <x:v>0</x:v>
      </x:c>
      <x:c r="J184" s="44" t="n">
        <x:v>374.76</x:v>
      </x:c>
      <x:c r="K184" s="13" t="str">
        <x:v>Cancelled</x:v>
      </x:c>
    </x:row>
    <x:row r="185">
      <x:c r="A185" s="13" t="str">
        <x:v>O0184</x:v>
      </x:c>
      <x:c r="B185" s="36" t="n">
        <x:v>46101</x:v>
      </x:c>
      <x:c r="C185" s="13" t="str">
        <x:v>C122</x:v>
      </x:c>
      <x:c r="D185" s="13" t="str">
        <x:v>P060</x:v>
      </x:c>
      <x:c r="E185" s="13" t="str">
        <x:v>Toronto</x:v>
      </x:c>
      <x:c r="F185" s="13" t="str">
        <x:v>Riley</x:v>
      </x:c>
      <x:c r="G185" s="13" t="n">
        <x:v>2</x:v>
      </x:c>
      <x:c r="H185" s="44" t="n">
        <x:v>21.75</x:v>
      </x:c>
      <x:c r="I185" s="38" t="n">
        <x:v>0</x:v>
      </x:c>
      <x:c r="J185" s="44" t="n">
        <x:v>43.5</x:v>
      </x:c>
      <x:c r="K185" s="13" t="str">
        <x:v>Pending</x:v>
      </x:c>
    </x:row>
    <x:row r="186">
      <x:c r="A186" s="13" t="str">
        <x:v>O0185</x:v>
      </x:c>
      <x:c r="B186" s="36" t="n">
        <x:v>46031</x:v>
      </x:c>
      <x:c r="C186" s="13" t="str">
        <x:v>C117</x:v>
      </x:c>
      <x:c r="D186" s="13" t="str">
        <x:v>P068</x:v>
      </x:c>
      <x:c r="E186" s="13" t="str">
        <x:v>Western Canada</x:v>
      </x:c>
      <x:c r="F186" s="13" t="str">
        <x:v>Casey</x:v>
      </x:c>
      <x:c r="G186" s="13" t="n">
        <x:v>11</x:v>
      </x:c>
      <x:c r="H186" s="44" t="n">
        <x:v>50.69</x:v>
      </x:c>
      <x:c r="I186" s="38" t="n">
        <x:v>0</x:v>
      </x:c>
      <x:c r="J186" s="44" t="n">
        <x:v>557.59</x:v>
      </x:c>
      <x:c r="K186" s="13" t="str">
        <x:v>Completed</x:v>
      </x:c>
    </x:row>
    <x:row r="187">
      <x:c r="A187" s="13" t="str">
        <x:v>O0186</x:v>
      </x:c>
      <x:c r="B187" s="36" t="n">
        <x:v>46132</x:v>
      </x:c>
      <x:c r="C187" s="13" t="str">
        <x:v>C139</x:v>
      </x:c>
      <x:c r="D187" s="13" t="str">
        <x:v>P021</x:v>
      </x:c>
      <x:c r="E187" s="13" t="str">
        <x:v>Southwestern ON</x:v>
      </x:c>
      <x:c r="F187" s="13" t="str">
        <x:v>Morgan</x:v>
      </x:c>
      <x:c r="G187" s="13" t="n">
        <x:v>1</x:v>
      </x:c>
      <x:c r="H187" s="44" t="n">
        <x:v>33.53</x:v>
      </x:c>
      <x:c r="I187" s="38" t="n">
        <x:v>0.05</x:v>
      </x:c>
      <x:c r="J187" s="44" t="n">
        <x:v>31.85</x:v>
      </x:c>
      <x:c r="K187" s="13" t="str">
        <x:v>Cancelled</x:v>
      </x:c>
    </x:row>
    <x:row r="188">
      <x:c r="A188" s="13" t="str">
        <x:v>O0187</x:v>
      </x:c>
      <x:c r="B188" s="36" t="n">
        <x:v>46264</x:v>
      </x:c>
      <x:c r="C188" s="13" t="str">
        <x:v>C077</x:v>
      </x:c>
      <x:c r="D188" s="13" t="str">
        <x:v>P025</x:v>
      </x:c>
      <x:c r="E188" s="13" t="str">
        <x:v>Toronto</x:v>
      </x:c>
      <x:c r="F188" s="13" t="str">
        <x:v>Riley</x:v>
      </x:c>
      <x:c r="G188" s="13" t="n">
        <x:v>7</x:v>
      </x:c>
      <x:c r="H188" s="44" t="n">
        <x:v>23.27</x:v>
      </x:c>
      <x:c r="I188" s="38" t="n">
        <x:v>0</x:v>
      </x:c>
      <x:c r="J188" s="44" t="n">
        <x:v>162.89</x:v>
      </x:c>
      <x:c r="K188" s="13" t="str">
        <x:v>Completed</x:v>
      </x:c>
    </x:row>
    <x:row r="189">
      <x:c r="A189" s="13" t="str">
        <x:v>O0188</x:v>
      </x:c>
      <x:c r="B189" s="36" t="n">
        <x:v>46254</x:v>
      </x:c>
      <x:c r="C189" s="13" t="str">
        <x:v>C108</x:v>
      </x:c>
      <x:c r="D189" s="13" t="str">
        <x:v>P011</x:v>
      </x:c>
      <x:c r="E189" s="13" t="str">
        <x:v>Ottawa</x:v>
      </x:c>
      <x:c r="F189" s="13" t="str">
        <x:v>Riley</x:v>
      </x:c>
      <x:c r="G189" s="13" t="n">
        <x:v>1</x:v>
      </x:c>
      <x:c r="H189" s="44" t="n">
        <x:v>32.78</x:v>
      </x:c>
      <x:c r="I189" s="38" t="n">
        <x:v>0</x:v>
      </x:c>
      <x:c r="J189" s="44" t="n">
        <x:v>32.78</x:v>
      </x:c>
      <x:c r="K189" s="13" t="str">
        <x:v>Completed</x:v>
      </x:c>
    </x:row>
    <x:row r="190">
      <x:c r="A190" s="13" t="str">
        <x:v>O0189</x:v>
      </x:c>
      <x:c r="B190" s="36" t="n">
        <x:v>46121</x:v>
      </x:c>
      <x:c r="C190" s="13" t="str">
        <x:v>C077</x:v>
      </x:c>
      <x:c r="D190" s="13" t="str">
        <x:v>P033</x:v>
      </x:c>
      <x:c r="E190" s="13" t="str">
        <x:v>GTA West</x:v>
      </x:c>
      <x:c r="F190" s="13" t="str">
        <x:v>Jordan</x:v>
      </x:c>
      <x:c r="G190" s="13" t="n">
        <x:v>7</x:v>
      </x:c>
      <x:c r="H190" s="44" t="n">
        <x:v>18.86</x:v>
      </x:c>
      <x:c r="I190" s="38" t="n">
        <x:v>0.1</x:v>
      </x:c>
      <x:c r="J190" s="44" t="n">
        <x:v>118.82</x:v>
      </x:c>
      <x:c r="K190" s="13" t="str">
        <x:v>Completed</x:v>
      </x:c>
    </x:row>
    <x:row r="191">
      <x:c r="A191" s="13" t="str">
        <x:v>O0190</x:v>
      </x:c>
      <x:c r="B191" s="36" t="n">
        <x:v>46038</x:v>
      </x:c>
      <x:c r="C191" s="13" t="str">
        <x:v>C058</x:v>
      </x:c>
      <x:c r="D191" s="13" t="str">
        <x:v>P035</x:v>
      </x:c>
      <x:c r="E191" s="13" t="str">
        <x:v>Ottawa</x:v>
      </x:c>
      <x:c r="F191" s="13" t="str">
        <x:v>Jordan</x:v>
      </x:c>
      <x:c r="G191" s="13" t="n">
        <x:v>6</x:v>
      </x:c>
      <x:c r="H191" s="44" t="n">
        <x:v>18.09</x:v>
      </x:c>
      <x:c r="I191" s="38" t="n">
        <x:v>0.1</x:v>
      </x:c>
      <x:c r="J191" s="44" t="n">
        <x:v>97.69</x:v>
      </x:c>
      <x:c r="K191" s="13" t="str">
        <x:v>Cancelled</x:v>
      </x:c>
    </x:row>
    <x:row r="192">
      <x:c r="A192" s="13" t="str">
        <x:v>O0191</x:v>
      </x:c>
      <x:c r="B192" s="36" t="n">
        <x:v>46120</x:v>
      </x:c>
      <x:c r="C192" s="13" t="str">
        <x:v>C125</x:v>
      </x:c>
      <x:c r="D192" s="13" t="str">
        <x:v>P071</x:v>
      </x:c>
      <x:c r="E192" s="13" t="str">
        <x:v>Western Canada</x:v>
      </x:c>
      <x:c r="F192" s="13" t="str">
        <x:v>Casey</x:v>
      </x:c>
      <x:c r="G192" s="13" t="n">
        <x:v>10</x:v>
      </x:c>
      <x:c r="H192" s="44" t="n">
        <x:v>66.69</x:v>
      </x:c>
      <x:c r="I192" s="38" t="n">
        <x:v>0</x:v>
      </x:c>
      <x:c r="J192" s="44" t="n">
        <x:v>666.9</x:v>
      </x:c>
      <x:c r="K192" s="13" t="str">
        <x:v>Completed</x:v>
      </x:c>
    </x:row>
    <x:row r="193">
      <x:c r="A193" s="13" t="str">
        <x:v>O0192</x:v>
      </x:c>
      <x:c r="B193" s="36" t="n">
        <x:v>46105</x:v>
      </x:c>
      <x:c r="C193" s="13" t="str">
        <x:v>C118</x:v>
      </x:c>
      <x:c r="D193" s="13" t="str">
        <x:v>P057</x:v>
      </x:c>
      <x:c r="E193" s="13" t="str">
        <x:v>Western Canada</x:v>
      </x:c>
      <x:c r="F193" s="13" t="str">
        <x:v>Taylor</x:v>
      </x:c>
      <x:c r="G193" s="13" t="n">
        <x:v>11</x:v>
      </x:c>
      <x:c r="H193" s="44" t="n">
        <x:v>16.91</x:v>
      </x:c>
      <x:c r="I193" s="38" t="n">
        <x:v>0.05</x:v>
      </x:c>
      <x:c r="J193" s="44" t="n">
        <x:v>176.71</x:v>
      </x:c>
      <x:c r="K193" s="13" t="str">
        <x:v>Cancelled</x:v>
      </x:c>
    </x:row>
    <x:row r="194">
      <x:c r="A194" s="13" t="str">
        <x:v>O0193</x:v>
      </x:c>
      <x:c r="B194" s="36" t="n">
        <x:v>46141</x:v>
      </x:c>
      <x:c r="C194" s="13" t="str">
        <x:v>C040</x:v>
      </x:c>
      <x:c r="D194" s="13" t="str">
        <x:v>P025</x:v>
      </x:c>
      <x:c r="E194" s="13" t="str">
        <x:v>Ottawa</x:v>
      </x:c>
      <x:c r="F194" s="13" t="str">
        <x:v>Casey</x:v>
      </x:c>
      <x:c r="G194" s="13" t="n">
        <x:v>12</x:v>
      </x:c>
      <x:c r="H194" s="44" t="n">
        <x:v>23.27</x:v>
      </x:c>
      <x:c r="I194" s="38" t="n">
        <x:v>0</x:v>
      </x:c>
      <x:c r="J194" s="44" t="n">
        <x:v>279.24</x:v>
      </x:c>
      <x:c r="K194" s="13" t="str">
        <x:v>Pending</x:v>
      </x:c>
    </x:row>
    <x:row r="195">
      <x:c r="A195" s="13" t="str">
        <x:v>O0194</x:v>
      </x:c>
      <x:c r="B195" s="36" t="n">
        <x:v>46091</x:v>
      </x:c>
      <x:c r="C195" s="13" t="str">
        <x:v>C126</x:v>
      </x:c>
      <x:c r="D195" s="13" t="str">
        <x:v>P022</x:v>
      </x:c>
      <x:c r="E195" s="13" t="str">
        <x:v>Ottawa</x:v>
      </x:c>
      <x:c r="F195" s="13" t="str">
        <x:v>Riley</x:v>
      </x:c>
      <x:c r="G195" s="13" t="n">
        <x:v>2</x:v>
      </x:c>
      <x:c r="H195" s="44" t="n">
        <x:v>25.34</x:v>
      </x:c>
      <x:c r="I195" s="38" t="n">
        <x:v>0.05</x:v>
      </x:c>
      <x:c r="J195" s="44" t="n">
        <x:v>48.15</x:v>
      </x:c>
      <x:c r="K195" s="13" t="str">
        <x:v>Cancelled</x:v>
      </x:c>
    </x:row>
    <x:row r="196">
      <x:c r="A196" s="13" t="str">
        <x:v>O0195</x:v>
      </x:c>
      <x:c r="B196" s="36" t="n">
        <x:v>46188</x:v>
      </x:c>
      <x:c r="C196" s="13" t="str">
        <x:v>C014</x:v>
      </x:c>
      <x:c r="D196" s="13" t="str">
        <x:v>P038</x:v>
      </x:c>
      <x:c r="E196" s="13" t="str">
        <x:v>Ottawa</x:v>
      </x:c>
      <x:c r="F196" s="13" t="str">
        <x:v>Casey</x:v>
      </x:c>
      <x:c r="G196" s="13" t="n">
        <x:v>8</x:v>
      </x:c>
      <x:c r="H196" s="44" t="n">
        <x:v>30.26</x:v>
      </x:c>
      <x:c r="I196" s="38" t="n">
        <x:v>0.1</x:v>
      </x:c>
      <x:c r="J196" s="44" t="n">
        <x:v>217.87</x:v>
      </x:c>
      <x:c r="K196" s="13" t="str">
        <x:v>Pending</x:v>
      </x:c>
    </x:row>
    <x:row r="197">
      <x:c r="A197" s="13" t="str">
        <x:v>O0196</x:v>
      </x:c>
      <x:c r="B197" s="36" t="n">
        <x:v>46042</x:v>
      </x:c>
      <x:c r="C197" s="13" t="str">
        <x:v>C140</x:v>
      </x:c>
      <x:c r="D197" s="13" t="str">
        <x:v>P017</x:v>
      </x:c>
      <x:c r="E197" s="13" t="str">
        <x:v>Ottawa</x:v>
      </x:c>
      <x:c r="F197" s="13" t="str">
        <x:v>Taylor</x:v>
      </x:c>
      <x:c r="G197" s="13" t="n">
        <x:v>9</x:v>
      </x:c>
      <x:c r="H197" s="44" t="n">
        <x:v>10.74</x:v>
      </x:c>
      <x:c r="I197" s="38" t="n">
        <x:v>0</x:v>
      </x:c>
      <x:c r="J197" s="44" t="n">
        <x:v>96.66</x:v>
      </x:c>
      <x:c r="K197" s="13" t="str">
        <x:v>Completed</x:v>
      </x:c>
    </x:row>
    <x:row r="198">
      <x:c r="A198" s="13" t="str">
        <x:v>O0197</x:v>
      </x:c>
      <x:c r="B198" s="36" t="n">
        <x:v>46026</x:v>
      </x:c>
      <x:c r="C198" s="13" t="str">
        <x:v>C122</x:v>
      </x:c>
      <x:c r="D198" s="13" t="str">
        <x:v>P010</x:v>
      </x:c>
      <x:c r="E198" s="13" t="str">
        <x:v>Southwestern ON</x:v>
      </x:c>
      <x:c r="F198" s="13" t="str">
        <x:v>Casey</x:v>
      </x:c>
      <x:c r="G198" s="13" t="n">
        <x:v>7</x:v>
      </x:c>
      <x:c r="H198" s="44" t="n">
        <x:v>26.15</x:v>
      </x:c>
      <x:c r="I198" s="38" t="n">
        <x:v>0.05</x:v>
      </x:c>
      <x:c r="J198" s="44" t="n">
        <x:v>173.9</x:v>
      </x:c>
      <x:c r="K198" s="13" t="str">
        <x:v>Pending</x:v>
      </x:c>
    </x:row>
    <x:row r="199">
      <x:c r="A199" s="13" t="str">
        <x:v>O0198</x:v>
      </x:c>
      <x:c r="B199" s="36" t="n">
        <x:v>46231</x:v>
      </x:c>
      <x:c r="C199" s="13" t="str">
        <x:v>C121</x:v>
      </x:c>
      <x:c r="D199" s="13" t="str">
        <x:v>P023</x:v>
      </x:c>
      <x:c r="E199" s="13" t="str">
        <x:v>Ottawa</x:v>
      </x:c>
      <x:c r="F199" s="13" t="str">
        <x:v>Taylor</x:v>
      </x:c>
      <x:c r="G199" s="13" t="n">
        <x:v>2</x:v>
      </x:c>
      <x:c r="H199" s="44" t="n">
        <x:v>27.81</x:v>
      </x:c>
      <x:c r="I199" s="38" t="n">
        <x:v>0.1</x:v>
      </x:c>
      <x:c r="J199" s="44" t="n">
        <x:v>50.06</x:v>
      </x:c>
      <x:c r="K199" s="13" t="str">
        <x:v>Completed</x:v>
      </x:c>
    </x:row>
    <x:row r="200">
      <x:c r="A200" s="13" t="str">
        <x:v>O0199</x:v>
      </x:c>
      <x:c r="B200" s="36" t="n">
        <x:v>46214</x:v>
      </x:c>
      <x:c r="C200" s="13" t="str">
        <x:v>C098</x:v>
      </x:c>
      <x:c r="D200" s="13" t="str">
        <x:v>P059</x:v>
      </x:c>
      <x:c r="E200" s="13" t="str">
        <x:v>Toronto</x:v>
      </x:c>
      <x:c r="F200" s="13" t="str">
        <x:v>Avery</x:v>
      </x:c>
      <x:c r="G200" s="13" t="n">
        <x:v>1</x:v>
      </x:c>
      <x:c r="H200" s="44" t="n">
        <x:v>25.22</x:v>
      </x:c>
      <x:c r="I200" s="38" t="n">
        <x:v>0</x:v>
      </x:c>
      <x:c r="J200" s="44" t="n">
        <x:v>25.22</x:v>
      </x:c>
      <x:c r="K200" s="13" t="str">
        <x:v>Completed</x:v>
      </x:c>
    </x:row>
    <x:row r="201">
      <x:c r="A201" s="13" t="str">
        <x:v>O0200</x:v>
      </x:c>
      <x:c r="B201" s="36" t="n">
        <x:v>46250</x:v>
      </x:c>
      <x:c r="C201" s="13" t="str">
        <x:v>C087</x:v>
      </x:c>
      <x:c r="D201" s="13" t="str">
        <x:v>P028</x:v>
      </x:c>
      <x:c r="E201" s="13" t="str">
        <x:v>Toronto</x:v>
      </x:c>
      <x:c r="F201" s="13" t="str">
        <x:v>Taylor</x:v>
      </x:c>
      <x:c r="G201" s="13" t="n">
        <x:v>10</x:v>
      </x:c>
      <x:c r="H201" s="44" t="n">
        <x:v>27.55</x:v>
      </x:c>
      <x:c r="I201" s="38" t="n">
        <x:v>0</x:v>
      </x:c>
      <x:c r="J201" s="44" t="n">
        <x:v>275.5</x:v>
      </x:c>
      <x:c r="K201" s="13" t="str">
        <x:v>Completed</x:v>
      </x:c>
    </x:row>
    <x:row r="202">
      <x:c r="A202" s="13" t="str">
        <x:v>O0201</x:v>
      </x:c>
      <x:c r="B202" s="36" t="n">
        <x:v>46160</x:v>
      </x:c>
      <x:c r="C202" s="13" t="str">
        <x:v>C062</x:v>
      </x:c>
      <x:c r="D202" s="13" t="str">
        <x:v>P047</x:v>
      </x:c>
      <x:c r="E202" s="13" t="str">
        <x:v>Toronto</x:v>
      </x:c>
      <x:c r="F202" s="13" t="str">
        <x:v>Riley</x:v>
      </x:c>
      <x:c r="G202" s="13" t="n">
        <x:v>1</x:v>
      </x:c>
      <x:c r="H202" s="44" t="n">
        <x:v>30.55</x:v>
      </x:c>
      <x:c r="I202" s="38" t="n">
        <x:v>0.1</x:v>
      </x:c>
      <x:c r="J202" s="44" t="n">
        <x:v>27.5</x:v>
      </x:c>
      <x:c r="K202" s="13" t="str">
        <x:v>Completed</x:v>
      </x:c>
    </x:row>
    <x:row r="203">
      <x:c r="A203" s="13" t="str">
        <x:v>O0202</x:v>
      </x:c>
      <x:c r="B203" s="36" t="n">
        <x:v>46174</x:v>
      </x:c>
      <x:c r="C203" s="13" t="str">
        <x:v>C025</x:v>
      </x:c>
      <x:c r="D203" s="13" t="str">
        <x:v>P042</x:v>
      </x:c>
      <x:c r="E203" s="13" t="str">
        <x:v>Ottawa</x:v>
      </x:c>
      <x:c r="F203" s="13" t="str">
        <x:v>Jordan</x:v>
      </x:c>
      <x:c r="G203" s="13" t="n">
        <x:v>5</x:v>
      </x:c>
      <x:c r="H203" s="44" t="n">
        <x:v>26.28</x:v>
      </x:c>
      <x:c r="I203" s="38" t="n">
        <x:v>0.1</x:v>
      </x:c>
      <x:c r="J203" s="44" t="n">
        <x:v>118.26</x:v>
      </x:c>
      <x:c r="K203" s="13" t="str">
        <x:v>Pending</x:v>
      </x:c>
    </x:row>
    <x:row r="204">
      <x:c r="A204" s="13" t="str">
        <x:v>O0203</x:v>
      </x:c>
      <x:c r="B204" s="36" t="n">
        <x:v>46194</x:v>
      </x:c>
      <x:c r="C204" s="13" t="str">
        <x:v>C082</x:v>
      </x:c>
      <x:c r="D204" s="13" t="str">
        <x:v>P050</x:v>
      </x:c>
      <x:c r="E204" s="13" t="str">
        <x:v>GTA West</x:v>
      </x:c>
      <x:c r="F204" s="13" t="str">
        <x:v>Avery</x:v>
      </x:c>
      <x:c r="G204" s="13" t="n">
        <x:v>4</x:v>
      </x:c>
      <x:c r="H204" s="44" t="n">
        <x:v>21.74</x:v>
      </x:c>
      <x:c r="I204" s="38" t="n">
        <x:v>0</x:v>
      </x:c>
      <x:c r="J204" s="44" t="n">
        <x:v>86.96</x:v>
      </x:c>
      <x:c r="K204" s="13" t="str">
        <x:v>Completed</x:v>
      </x:c>
    </x:row>
    <x:row r="205">
      <x:c r="A205" s="13" t="str">
        <x:v>O0204</x:v>
      </x:c>
      <x:c r="B205" s="36" t="n">
        <x:v>46107</x:v>
      </x:c>
      <x:c r="C205" s="13" t="str">
        <x:v>C056</x:v>
      </x:c>
      <x:c r="D205" s="13" t="str">
        <x:v>P062</x:v>
      </x:c>
      <x:c r="E205" s="13" t="str">
        <x:v>Western Canada</x:v>
      </x:c>
      <x:c r="F205" s="13" t="str">
        <x:v>Morgan</x:v>
      </x:c>
      <x:c r="G205" s="13" t="n">
        <x:v>1</x:v>
      </x:c>
      <x:c r="H205" s="44" t="n">
        <x:v>87.5</x:v>
      </x:c>
      <x:c r="I205" s="38" t="n">
        <x:v>0</x:v>
      </x:c>
      <x:c r="J205" s="44" t="n">
        <x:v>87.5</x:v>
      </x:c>
      <x:c r="K205" s="13" t="str">
        <x:v>Completed</x:v>
      </x:c>
    </x:row>
    <x:row r="206">
      <x:c r="A206" s="13" t="str">
        <x:v>O0205</x:v>
      </x:c>
      <x:c r="B206" s="36" t="n">
        <x:v>46263</x:v>
      </x:c>
      <x:c r="C206" s="13" t="str">
        <x:v>C004</x:v>
      </x:c>
      <x:c r="D206" s="13" t="str">
        <x:v>P028</x:v>
      </x:c>
      <x:c r="E206" s="13" t="str">
        <x:v>Toronto</x:v>
      </x:c>
      <x:c r="F206" s="13" t="str">
        <x:v>Riley</x:v>
      </x:c>
      <x:c r="G206" s="13" t="n">
        <x:v>8</x:v>
      </x:c>
      <x:c r="H206" s="44" t="n">
        <x:v>27.55</x:v>
      </x:c>
      <x:c r="I206" s="38" t="n">
        <x:v>0</x:v>
      </x:c>
      <x:c r="J206" s="44" t="n">
        <x:v>220.4</x:v>
      </x:c>
      <x:c r="K206" s="13" t="str">
        <x:v>Completed</x:v>
      </x:c>
    </x:row>
    <x:row r="207">
      <x:c r="A207" s="13" t="str">
        <x:v>O0206</x:v>
      </x:c>
      <x:c r="B207" s="36" t="n">
        <x:v>46144</x:v>
      </x:c>
      <x:c r="C207" s="13" t="str">
        <x:v>C092</x:v>
      </x:c>
      <x:c r="D207" s="13" t="str">
        <x:v>P019</x:v>
      </x:c>
      <x:c r="E207" s="13" t="str">
        <x:v>Southwestern ON</x:v>
      </x:c>
      <x:c r="F207" s="13" t="str">
        <x:v>Morgan</x:v>
      </x:c>
      <x:c r="G207" s="13" t="n">
        <x:v>9</x:v>
      </x:c>
      <x:c r="H207" s="44" t="n">
        <x:v>30.91</x:v>
      </x:c>
      <x:c r="I207" s="38" t="n">
        <x:v>0.15</x:v>
      </x:c>
      <x:c r="J207" s="44" t="n">
        <x:v>236.46</x:v>
      </x:c>
      <x:c r="K207" s="13" t="str">
        <x:v>Pending</x:v>
      </x:c>
    </x:row>
    <x:row r="208">
      <x:c r="A208" s="13" t="str">
        <x:v>O0207</x:v>
      </x:c>
      <x:c r="B208" s="36" t="n">
        <x:v>46119</x:v>
      </x:c>
      <x:c r="C208" s="13" t="str">
        <x:v>C043</x:v>
      </x:c>
      <x:c r="D208" s="13" t="str">
        <x:v>P071</x:v>
      </x:c>
      <x:c r="E208" s="13" t="str">
        <x:v>Western Canada</x:v>
      </x:c>
      <x:c r="F208" s="13" t="str">
        <x:v>Avery</x:v>
      </x:c>
      <x:c r="G208" s="13" t="n">
        <x:v>4</x:v>
      </x:c>
      <x:c r="H208" s="44" t="n">
        <x:v>66.69</x:v>
      </x:c>
      <x:c r="I208" s="38" t="n">
        <x:v>0.05</x:v>
      </x:c>
      <x:c r="J208" s="44" t="n">
        <x:v>253.42</x:v>
      </x:c>
      <x:c r="K208" s="13" t="str">
        <x:v>Completed</x:v>
      </x:c>
    </x:row>
    <x:row r="209">
      <x:c r="A209" s="13" t="str">
        <x:v>O0208</x:v>
      </x:c>
      <x:c r="B209" s="36" t="n">
        <x:v>46118</x:v>
      </x:c>
      <x:c r="C209" s="13" t="str">
        <x:v>C114</x:v>
      </x:c>
      <x:c r="D209" s="13" t="str">
        <x:v>P052</x:v>
      </x:c>
      <x:c r="E209" s="13" t="str">
        <x:v>Ottawa</x:v>
      </x:c>
      <x:c r="F209" s="13" t="str">
        <x:v>Casey</x:v>
      </x:c>
      <x:c r="G209" s="13" t="n">
        <x:v>1</x:v>
      </x:c>
      <x:c r="H209" s="44" t="n">
        <x:v>22.35</x:v>
      </x:c>
      <x:c r="I209" s="38" t="n">
        <x:v>0.05</x:v>
      </x:c>
      <x:c r="J209" s="44" t="n">
        <x:v>21.23</x:v>
      </x:c>
      <x:c r="K209" s="13" t="str">
        <x:v>Completed</x:v>
      </x:c>
    </x:row>
    <x:row r="210">
      <x:c r="A210" s="13" t="str">
        <x:v>O0209</x:v>
      </x:c>
      <x:c r="B210" s="36" t="n">
        <x:v>46185</x:v>
      </x:c>
      <x:c r="C210" s="13" t="str">
        <x:v>C136</x:v>
      </x:c>
      <x:c r="D210" s="13" t="str">
        <x:v>P014</x:v>
      </x:c>
      <x:c r="E210" s="13" t="str">
        <x:v>Western Canada</x:v>
      </x:c>
      <x:c r="F210" s="13" t="str">
        <x:v>Morgan</x:v>
      </x:c>
      <x:c r="G210" s="13" t="n">
        <x:v>10</x:v>
      </x:c>
      <x:c r="H210" s="44" t="n">
        <x:v>21.79</x:v>
      </x:c>
      <x:c r="I210" s="38" t="n">
        <x:v>0.05</x:v>
      </x:c>
      <x:c r="J210" s="44" t="n">
        <x:v>207</x:v>
      </x:c>
      <x:c r="K210" s="13" t="str">
        <x:v>Completed</x:v>
      </x:c>
    </x:row>
    <x:row r="211">
      <x:c r="A211" s="13" t="str">
        <x:v>O0210</x:v>
      </x:c>
      <x:c r="B211" s="36" t="n">
        <x:v>46123</x:v>
      </x:c>
      <x:c r="C211" s="13" t="str">
        <x:v>C133</x:v>
      </x:c>
      <x:c r="D211" s="13" t="str">
        <x:v>P020</x:v>
      </x:c>
      <x:c r="E211" s="13" t="str">
        <x:v>Toronto</x:v>
      </x:c>
      <x:c r="F211" s="13" t="str">
        <x:v>Taylor</x:v>
      </x:c>
      <x:c r="G211" s="13" t="n">
        <x:v>9</x:v>
      </x:c>
      <x:c r="H211" s="44" t="n">
        <x:v>27.83</x:v>
      </x:c>
      <x:c r="I211" s="38" t="n">
        <x:v>0.1</x:v>
      </x:c>
      <x:c r="J211" s="44" t="n">
        <x:v>225.42</x:v>
      </x:c>
      <x:c r="K211" s="13" t="str">
        <x:v>Completed</x:v>
      </x:c>
    </x:row>
    <x:row r="212">
      <x:c r="A212" s="13" t="str">
        <x:v>O0211</x:v>
      </x:c>
      <x:c r="B212" s="36" t="n">
        <x:v>46082</x:v>
      </x:c>
      <x:c r="C212" s="13" t="str">
        <x:v>C023</x:v>
      </x:c>
      <x:c r="D212" s="13" t="str">
        <x:v>P032</x:v>
      </x:c>
      <x:c r="E212" s="13" t="str">
        <x:v>Western Canada</x:v>
      </x:c>
      <x:c r="F212" s="13" t="str">
        <x:v>Riley</x:v>
      </x:c>
      <x:c r="G212" s="13" t="n">
        <x:v>2</x:v>
      </x:c>
      <x:c r="H212" s="44" t="n">
        <x:v>38.71</x:v>
      </x:c>
      <x:c r="I212" s="38" t="n">
        <x:v>0.1</x:v>
      </x:c>
      <x:c r="J212" s="44" t="n">
        <x:v>69.68</x:v>
      </x:c>
      <x:c r="K212" s="13" t="str">
        <x:v>Pending</x:v>
      </x:c>
    </x:row>
    <x:row r="213">
      <x:c r="A213" s="13" t="str">
        <x:v>O0212</x:v>
      </x:c>
      <x:c r="B213" s="36" t="n">
        <x:v>46241</x:v>
      </x:c>
      <x:c r="C213" s="13" t="str">
        <x:v>C099</x:v>
      </x:c>
      <x:c r="D213" s="13" t="str">
        <x:v>P033</x:v>
      </x:c>
      <x:c r="E213" s="13" t="str">
        <x:v>Western Canada</x:v>
      </x:c>
      <x:c r="F213" s="13" t="str">
        <x:v>Taylor</x:v>
      </x:c>
      <x:c r="G213" s="13" t="n">
        <x:v>6</x:v>
      </x:c>
      <x:c r="H213" s="44" t="n">
        <x:v>18.86</x:v>
      </x:c>
      <x:c r="I213" s="38" t="n">
        <x:v>0.1</x:v>
      </x:c>
      <x:c r="J213" s="44" t="n">
        <x:v>101.84</x:v>
      </x:c>
      <x:c r="K213" s="13" t="str">
        <x:v>Completed</x:v>
      </x:c>
    </x:row>
    <x:row r="214">
      <x:c r="A214" s="13" t="str">
        <x:v>O0213</x:v>
      </x:c>
      <x:c r="B214" s="36" t="n">
        <x:v>46215</x:v>
      </x:c>
      <x:c r="C214" s="13" t="str">
        <x:v>C034</x:v>
      </x:c>
      <x:c r="D214" s="13" t="str">
        <x:v>P044</x:v>
      </x:c>
      <x:c r="E214" s="13" t="str">
        <x:v>Western Canada</x:v>
      </x:c>
      <x:c r="F214" s="13" t="str">
        <x:v>Jordan</x:v>
      </x:c>
      <x:c r="G214" s="13" t="n">
        <x:v>2</x:v>
      </x:c>
      <x:c r="H214" s="44" t="n">
        <x:v>24.3</x:v>
      </x:c>
      <x:c r="I214" s="38" t="n">
        <x:v>0</x:v>
      </x:c>
      <x:c r="J214" s="44" t="n">
        <x:v>48.6</x:v>
      </x:c>
      <x:c r="K214" s="13" t="str">
        <x:v>Completed</x:v>
      </x:c>
    </x:row>
    <x:row r="215">
      <x:c r="A215" s="13" t="str">
        <x:v>O0214</x:v>
      </x:c>
      <x:c r="B215" s="36" t="n">
        <x:v>46224</x:v>
      </x:c>
      <x:c r="C215" s="13" t="str">
        <x:v>C038</x:v>
      </x:c>
      <x:c r="D215" s="13" t="str">
        <x:v>P034</x:v>
      </x:c>
      <x:c r="E215" s="13" t="str">
        <x:v>Western Canada</x:v>
      </x:c>
      <x:c r="F215" s="13" t="str">
        <x:v>Riley</x:v>
      </x:c>
      <x:c r="G215" s="13" t="n">
        <x:v>7</x:v>
      </x:c>
      <x:c r="H215" s="44" t="n">
        <x:v>14.68</x:v>
      </x:c>
      <x:c r="I215" s="38" t="n">
        <x:v>0</x:v>
      </x:c>
      <x:c r="J215" s="44" t="n">
        <x:v>102.76</x:v>
      </x:c>
      <x:c r="K215" s="13" t="str">
        <x:v>Completed</x:v>
      </x:c>
    </x:row>
    <x:row r="216">
      <x:c r="A216" s="13" t="str">
        <x:v>O0215</x:v>
      </x:c>
      <x:c r="B216" s="36" t="n">
        <x:v>46024</x:v>
      </x:c>
      <x:c r="C216" s="13" t="str">
        <x:v>C121</x:v>
      </x:c>
      <x:c r="D216" s="13" t="str">
        <x:v>P009</x:v>
      </x:c>
      <x:c r="E216" s="13" t="str">
        <x:v>Western Canada</x:v>
      </x:c>
      <x:c r="F216" s="13" t="str">
        <x:v>Riley</x:v>
      </x:c>
      <x:c r="G216" s="13" t="n">
        <x:v>12</x:v>
      </x:c>
      <x:c r="H216" s="44" t="n">
        <x:v>29.42</x:v>
      </x:c>
      <x:c r="I216" s="38" t="n">
        <x:v>0</x:v>
      </x:c>
      <x:c r="J216" s="44" t="n">
        <x:v>353.04</x:v>
      </x:c>
      <x:c r="K216" s="13" t="str">
        <x:v>Completed</x:v>
      </x:c>
    </x:row>
    <x:row r="217">
      <x:c r="A217" s="13" t="str">
        <x:v>O0216</x:v>
      </x:c>
      <x:c r="B217" s="36" t="n">
        <x:v>46087</x:v>
      </x:c>
      <x:c r="C217" s="13" t="str">
        <x:v>C136</x:v>
      </x:c>
      <x:c r="D217" s="13" t="str">
        <x:v>P062</x:v>
      </x:c>
      <x:c r="E217" s="13" t="str">
        <x:v>Southwestern ON</x:v>
      </x:c>
      <x:c r="F217" s="13" t="str">
        <x:v>Jordan</x:v>
      </x:c>
      <x:c r="G217" s="13" t="n">
        <x:v>9</x:v>
      </x:c>
      <x:c r="H217" s="44" t="n">
        <x:v>87.5</x:v>
      </x:c>
      <x:c r="I217" s="38" t="n">
        <x:v>0</x:v>
      </x:c>
      <x:c r="J217" s="44" t="n">
        <x:v>787.5</x:v>
      </x:c>
      <x:c r="K217" s="13" t="str">
        <x:v>Pending</x:v>
      </x:c>
    </x:row>
    <x:row r="218">
      <x:c r="A218" s="13" t="str">
        <x:v>O0217</x:v>
      </x:c>
      <x:c r="B218" s="36" t="n">
        <x:v>46218</x:v>
      </x:c>
      <x:c r="C218" s="13" t="str">
        <x:v>C107</x:v>
      </x:c>
      <x:c r="D218" s="13" t="str">
        <x:v>P027</x:v>
      </x:c>
      <x:c r="E218" s="13" t="str">
        <x:v>Western Canada</x:v>
      </x:c>
      <x:c r="F218" s="13" t="str">
        <x:v>Casey</x:v>
      </x:c>
      <x:c r="G218" s="13" t="n">
        <x:v>5</x:v>
      </x:c>
      <x:c r="H218" s="44" t="n">
        <x:v>22.33</x:v>
      </x:c>
      <x:c r="I218" s="38" t="n">
        <x:v>0</x:v>
      </x:c>
      <x:c r="J218" s="44" t="n">
        <x:v>111.65</x:v>
      </x:c>
      <x:c r="K218" s="13" t="str">
        <x:v>Completed</x:v>
      </x:c>
    </x:row>
    <x:row r="219">
      <x:c r="A219" s="13" t="str">
        <x:v>O0218</x:v>
      </x:c>
      <x:c r="B219" s="36" t="n">
        <x:v>46113</x:v>
      </x:c>
      <x:c r="C219" s="13" t="str">
        <x:v>C023</x:v>
      </x:c>
      <x:c r="D219" s="13" t="str">
        <x:v>P042</x:v>
      </x:c>
      <x:c r="E219" s="13" t="str">
        <x:v>Ottawa</x:v>
      </x:c>
      <x:c r="F219" s="13" t="str">
        <x:v>Avery</x:v>
      </x:c>
      <x:c r="G219" s="13" t="n">
        <x:v>10</x:v>
      </x:c>
      <x:c r="H219" s="44" t="n">
        <x:v>26.28</x:v>
      </x:c>
      <x:c r="I219" s="38" t="n">
        <x:v>0</x:v>
      </x:c>
      <x:c r="J219" s="44" t="n">
        <x:v>262.8</x:v>
      </x:c>
      <x:c r="K219" s="13" t="str">
        <x:v>Completed</x:v>
      </x:c>
    </x:row>
    <x:row r="220">
      <x:c r="A220" s="13" t="str">
        <x:v>O0219</x:v>
      </x:c>
      <x:c r="B220" s="36" t="n">
        <x:v>46035</x:v>
      </x:c>
      <x:c r="C220" s="13" t="str">
        <x:v>C125</x:v>
      </x:c>
      <x:c r="D220" s="13" t="str">
        <x:v>P020</x:v>
      </x:c>
      <x:c r="E220" s="13" t="str">
        <x:v>Southwestern ON</x:v>
      </x:c>
      <x:c r="F220" s="13" t="str">
        <x:v>Riley</x:v>
      </x:c>
      <x:c r="G220" s="13" t="n">
        <x:v>12</x:v>
      </x:c>
      <x:c r="H220" s="44" t="n">
        <x:v>27.83</x:v>
      </x:c>
      <x:c r="I220" s="38" t="n">
        <x:v>0</x:v>
      </x:c>
      <x:c r="J220" s="44" t="n">
        <x:v>333.96</x:v>
      </x:c>
      <x:c r="K220" s="13" t="str">
        <x:v>Completed</x:v>
      </x:c>
    </x:row>
    <x:row r="221">
      <x:c r="A221" s="13" t="str">
        <x:v>O0220</x:v>
      </x:c>
      <x:c r="B221" s="36" t="n">
        <x:v>46185</x:v>
      </x:c>
      <x:c r="C221" s="13" t="str">
        <x:v>C011</x:v>
      </x:c>
      <x:c r="D221" s="13" t="str">
        <x:v>P026</x:v>
      </x:c>
      <x:c r="E221" s="13" t="str">
        <x:v>Toronto</x:v>
      </x:c>
      <x:c r="F221" s="13" t="str">
        <x:v>Riley</x:v>
      </x:c>
      <x:c r="G221" s="13" t="n">
        <x:v>2</x:v>
      </x:c>
      <x:c r="H221" s="44" t="n">
        <x:v>22.79</x:v>
      </x:c>
      <x:c r="I221" s="38" t="n">
        <x:v>0</x:v>
      </x:c>
      <x:c r="J221" s="44" t="n">
        <x:v>45.58</x:v>
      </x:c>
      <x:c r="K221" s="13" t="str">
        <x:v>Completed</x:v>
      </x:c>
    </x:row>
    <x:row r="222">
      <x:c r="A222" s="13" t="str">
        <x:v>O0221</x:v>
      </x:c>
      <x:c r="B222" s="36" t="n">
        <x:v>46036</x:v>
      </x:c>
      <x:c r="C222" s="13" t="str">
        <x:v>C095</x:v>
      </x:c>
      <x:c r="D222" s="13" t="str">
        <x:v>P045</x:v>
      </x:c>
      <x:c r="E222" s="13" t="str">
        <x:v>Toronto</x:v>
      </x:c>
      <x:c r="F222" s="13" t="str">
        <x:v>Jordan</x:v>
      </x:c>
      <x:c r="G222" s="13" t="n">
        <x:v>1</x:v>
      </x:c>
      <x:c r="H222" s="44" t="n">
        <x:v>13.92</x:v>
      </x:c>
      <x:c r="I222" s="38" t="n">
        <x:v>0</x:v>
      </x:c>
      <x:c r="J222" s="44" t="n">
        <x:v>13.92</x:v>
      </x:c>
      <x:c r="K222" s="13" t="str">
        <x:v>Cancelled</x:v>
      </x:c>
    </x:row>
    <x:row r="223">
      <x:c r="A223" s="13" t="str">
        <x:v>O0222</x:v>
      </x:c>
      <x:c r="B223" s="36" t="n">
        <x:v>46231</x:v>
      </x:c>
      <x:c r="C223" s="13" t="str">
        <x:v>C001</x:v>
      </x:c>
      <x:c r="D223" s="13" t="str">
        <x:v>P056</x:v>
      </x:c>
      <x:c r="E223" s="13" t="str">
        <x:v>Ottawa</x:v>
      </x:c>
      <x:c r="F223" s="13" t="str">
        <x:v>Taylor</x:v>
      </x:c>
      <x:c r="G223" s="13" t="n">
        <x:v>1</x:v>
      </x:c>
      <x:c r="H223" s="44" t="n">
        <x:v>20.02</x:v>
      </x:c>
      <x:c r="I223" s="38" t="n">
        <x:v>0.05</x:v>
      </x:c>
      <x:c r="J223" s="44" t="n">
        <x:v>19.02</x:v>
      </x:c>
      <x:c r="K223" s="13" t="str">
        <x:v>Completed</x:v>
      </x:c>
    </x:row>
    <x:row r="224">
      <x:c r="A224" s="13" t="str">
        <x:v>O0223</x:v>
      </x:c>
      <x:c r="B224" s="36" t="n">
        <x:v>46133</x:v>
      </x:c>
      <x:c r="C224" s="13" t="str">
        <x:v>C045</x:v>
      </x:c>
      <x:c r="D224" s="13" t="str">
        <x:v>P068</x:v>
      </x:c>
      <x:c r="E224" s="13" t="str">
        <x:v>Ottawa</x:v>
      </x:c>
      <x:c r="F224" s="13" t="str">
        <x:v>Taylor</x:v>
      </x:c>
      <x:c r="G224" s="13" t="n">
        <x:v>1</x:v>
      </x:c>
      <x:c r="H224" s="44" t="n">
        <x:v>50.69</x:v>
      </x:c>
      <x:c r="I224" s="38" t="n">
        <x:v>0</x:v>
      </x:c>
      <x:c r="J224" s="44" t="n">
        <x:v>50.69</x:v>
      </x:c>
      <x:c r="K224" s="13" t="str">
        <x:v>Completed</x:v>
      </x:c>
    </x:row>
    <x:row r="225">
      <x:c r="A225" s="13" t="str">
        <x:v>O0224</x:v>
      </x:c>
      <x:c r="B225" s="36" t="n">
        <x:v>46036</x:v>
      </x:c>
      <x:c r="C225" s="13" t="str">
        <x:v>C081</x:v>
      </x:c>
      <x:c r="D225" s="13" t="str">
        <x:v>P053</x:v>
      </x:c>
      <x:c r="E225" s="13" t="str">
        <x:v>Southwestern ON</x:v>
      </x:c>
      <x:c r="F225" s="13" t="str">
        <x:v>Riley</x:v>
      </x:c>
      <x:c r="G225" s="13" t="n">
        <x:v>8</x:v>
      </x:c>
      <x:c r="H225" s="44" t="n">
        <x:v>17.95</x:v>
      </x:c>
      <x:c r="I225" s="38" t="n">
        <x:v>0</x:v>
      </x:c>
      <x:c r="J225" s="44" t="n">
        <x:v>143.6</x:v>
      </x:c>
      <x:c r="K225" s="13" t="str">
        <x:v>Completed</x:v>
      </x:c>
    </x:row>
    <x:row r="226">
      <x:c r="A226" s="13" t="str">
        <x:v>O0225</x:v>
      </x:c>
      <x:c r="B226" s="36" t="n">
        <x:v>46242</x:v>
      </x:c>
      <x:c r="C226" s="13" t="str">
        <x:v>C070</x:v>
      </x:c>
      <x:c r="D226" s="13" t="str">
        <x:v>P062</x:v>
      </x:c>
      <x:c r="E226" s="13" t="str">
        <x:v>Ottawa</x:v>
      </x:c>
      <x:c r="F226" s="13" t="str">
        <x:v>Casey</x:v>
      </x:c>
      <x:c r="G226" s="13" t="n">
        <x:v>3</x:v>
      </x:c>
      <x:c r="H226" s="44" t="n">
        <x:v>87.5</x:v>
      </x:c>
      <x:c r="I226" s="38" t="n">
        <x:v>0</x:v>
      </x:c>
      <x:c r="J226" s="44" t="n">
        <x:v>262.5</x:v>
      </x:c>
      <x:c r="K226" s="13" t="str">
        <x:v>Completed</x:v>
      </x:c>
    </x:row>
    <x:row r="227">
      <x:c r="A227" s="13" t="str">
        <x:v>O0226</x:v>
      </x:c>
      <x:c r="B227" s="36" t="n">
        <x:v>46161</x:v>
      </x:c>
      <x:c r="C227" s="13" t="str">
        <x:v>C007</x:v>
      </x:c>
      <x:c r="D227" s="13" t="str">
        <x:v>P001</x:v>
      </x:c>
      <x:c r="E227" s="13" t="str">
        <x:v>Western Canada</x:v>
      </x:c>
      <x:c r="F227" s="13" t="str">
        <x:v>Avery</x:v>
      </x:c>
      <x:c r="G227" s="13" t="n">
        <x:v>2</x:v>
      </x:c>
      <x:c r="H227" s="44" t="n">
        <x:v>12.66</x:v>
      </x:c>
      <x:c r="I227" s="38" t="n">
        <x:v>0.15</x:v>
      </x:c>
      <x:c r="J227" s="44" t="n">
        <x:v>21.52</x:v>
      </x:c>
      <x:c r="K227" s="13" t="str">
        <x:v>Completed</x:v>
      </x:c>
    </x:row>
    <x:row r="228">
      <x:c r="A228" s="13" t="str">
        <x:v>O0227</x:v>
      </x:c>
      <x:c r="B228" s="36" t="n">
        <x:v>46141</x:v>
      </x:c>
      <x:c r="C228" s="13" t="str">
        <x:v>C001</x:v>
      </x:c>
      <x:c r="D228" s="13" t="str">
        <x:v>P025</x:v>
      </x:c>
      <x:c r="E228" s="13" t="str">
        <x:v>Western Canada</x:v>
      </x:c>
      <x:c r="F228" s="13" t="str">
        <x:v>Morgan</x:v>
      </x:c>
      <x:c r="G228" s="13" t="n">
        <x:v>9</x:v>
      </x:c>
      <x:c r="H228" s="44" t="n">
        <x:v>23.27</x:v>
      </x:c>
      <x:c r="I228" s="38" t="n">
        <x:v>0</x:v>
      </x:c>
      <x:c r="J228" s="44" t="n">
        <x:v>209.43</x:v>
      </x:c>
      <x:c r="K228" s="13" t="str">
        <x:v>Pending</x:v>
      </x:c>
    </x:row>
    <x:row r="229">
      <x:c r="A229" s="13" t="str">
        <x:v>O0228</x:v>
      </x:c>
      <x:c r="B229" s="36" t="n">
        <x:v>46073</x:v>
      </x:c>
      <x:c r="C229" s="13" t="str">
        <x:v>C128</x:v>
      </x:c>
      <x:c r="D229" s="13" t="str">
        <x:v>P061</x:v>
      </x:c>
      <x:c r="E229" s="13" t="str">
        <x:v>Southwestern ON</x:v>
      </x:c>
      <x:c r="F229" s="13" t="str">
        <x:v>Avery</x:v>
      </x:c>
      <x:c r="G229" s="13" t="n">
        <x:v>1</x:v>
      </x:c>
      <x:c r="H229" s="44" t="n">
        <x:v>40.29</x:v>
      </x:c>
      <x:c r="I229" s="38" t="n">
        <x:v>0.15</x:v>
      </x:c>
      <x:c r="J229" s="44" t="n">
        <x:v>34.25</x:v>
      </x:c>
      <x:c r="K229" s="13" t="str">
        <x:v>Cancelled</x:v>
      </x:c>
    </x:row>
    <x:row r="230">
      <x:c r="A230" s="13" t="str">
        <x:v>O0229</x:v>
      </x:c>
      <x:c r="B230" s="36" t="n">
        <x:v>46057</x:v>
      </x:c>
      <x:c r="C230" s="13" t="str">
        <x:v>C067</x:v>
      </x:c>
      <x:c r="D230" s="13" t="str">
        <x:v>P062</x:v>
      </x:c>
      <x:c r="E230" s="13" t="str">
        <x:v>Southwestern ON</x:v>
      </x:c>
      <x:c r="F230" s="13" t="str">
        <x:v>Casey</x:v>
      </x:c>
      <x:c r="G230" s="13" t="n">
        <x:v>8</x:v>
      </x:c>
      <x:c r="H230" s="44" t="n">
        <x:v>87.5</x:v>
      </x:c>
      <x:c r="I230" s="38" t="n">
        <x:v>0</x:v>
      </x:c>
      <x:c r="J230" s="44" t="n">
        <x:v>700</x:v>
      </x:c>
      <x:c r="K230" s="13" t="str">
        <x:v>Completed</x:v>
      </x:c>
    </x:row>
    <x:row r="231">
      <x:c r="A231" s="13" t="str">
        <x:v>O0230</x:v>
      </x:c>
      <x:c r="B231" s="36" t="n">
        <x:v>46224</x:v>
      </x:c>
      <x:c r="C231" s="13" t="str">
        <x:v>C097</x:v>
      </x:c>
      <x:c r="D231" s="13" t="str">
        <x:v>P075</x:v>
      </x:c>
      <x:c r="E231" s="13" t="str">
        <x:v>Western Canada</x:v>
      </x:c>
      <x:c r="F231" s="13" t="str">
        <x:v>Riley</x:v>
      </x:c>
      <x:c r="G231" s="13" t="n">
        <x:v>8</x:v>
      </x:c>
      <x:c r="H231" s="44" t="n">
        <x:v>34.28</x:v>
      </x:c>
      <x:c r="I231" s="38" t="n">
        <x:v>0.1</x:v>
      </x:c>
      <x:c r="J231" s="44" t="n">
        <x:v>246.82</x:v>
      </x:c>
      <x:c r="K231" s="13" t="str">
        <x:v>Completed</x:v>
      </x:c>
    </x:row>
    <x:row r="232">
      <x:c r="A232" s="13" t="str">
        <x:v>O0231</x:v>
      </x:c>
      <x:c r="B232" s="36" t="n">
        <x:v>46206</x:v>
      </x:c>
      <x:c r="C232" s="13" t="str">
        <x:v>C042</x:v>
      </x:c>
      <x:c r="D232" s="13" t="str">
        <x:v>P047</x:v>
      </x:c>
      <x:c r="E232" s="13" t="str">
        <x:v>Western Canada</x:v>
      </x:c>
      <x:c r="F232" s="13" t="str">
        <x:v>Avery</x:v>
      </x:c>
      <x:c r="G232" s="13" t="n">
        <x:v>7</x:v>
      </x:c>
      <x:c r="H232" s="44" t="n">
        <x:v>30.55</x:v>
      </x:c>
      <x:c r="I232" s="38" t="n">
        <x:v>0</x:v>
      </x:c>
      <x:c r="J232" s="44" t="n">
        <x:v>213.85</x:v>
      </x:c>
      <x:c r="K232" s="13" t="str">
        <x:v>Pending</x:v>
      </x:c>
    </x:row>
    <x:row r="233">
      <x:c r="A233" s="13" t="str">
        <x:v>O0232</x:v>
      </x:c>
      <x:c r="B233" s="36" t="n">
        <x:v>46092</x:v>
      </x:c>
      <x:c r="C233" s="13" t="str">
        <x:v>C096</x:v>
      </x:c>
      <x:c r="D233" s="13" t="str">
        <x:v>P061</x:v>
      </x:c>
      <x:c r="E233" s="13" t="str">
        <x:v>GTA West</x:v>
      </x:c>
      <x:c r="F233" s="13" t="str">
        <x:v>Taylor</x:v>
      </x:c>
      <x:c r="G233" s="13" t="n">
        <x:v>12</x:v>
      </x:c>
      <x:c r="H233" s="44" t="n">
        <x:v>40.29</x:v>
      </x:c>
      <x:c r="I233" s="38" t="n">
        <x:v>0.1</x:v>
      </x:c>
      <x:c r="J233" s="44" t="n">
        <x:v>435.13</x:v>
      </x:c>
      <x:c r="K233" s="13" t="str">
        <x:v>Completed</x:v>
      </x:c>
    </x:row>
    <x:row r="234">
      <x:c r="A234" s="13" t="str">
        <x:v>O0233</x:v>
      </x:c>
      <x:c r="B234" s="36" t="n">
        <x:v>46056</x:v>
      </x:c>
      <x:c r="C234" s="13" t="str">
        <x:v>C003</x:v>
      </x:c>
      <x:c r="D234" s="13" t="str">
        <x:v>P030</x:v>
      </x:c>
      <x:c r="E234" s="13" t="str">
        <x:v>Southwestern ON</x:v>
      </x:c>
      <x:c r="F234" s="13" t="str">
        <x:v>Casey</x:v>
      </x:c>
      <x:c r="G234" s="13" t="n">
        <x:v>5</x:v>
      </x:c>
      <x:c r="H234" s="44" t="n">
        <x:v>10.76</x:v>
      </x:c>
      <x:c r="I234" s="38" t="n">
        <x:v>0.05</x:v>
      </x:c>
      <x:c r="J234" s="44" t="n">
        <x:v>51.11</x:v>
      </x:c>
      <x:c r="K234" s="13" t="str">
        <x:v>Completed</x:v>
      </x:c>
    </x:row>
    <x:row r="235">
      <x:c r="A235" s="13" t="str">
        <x:v>O0234</x:v>
      </x:c>
      <x:c r="B235" s="36" t="n">
        <x:v>46177</x:v>
      </x:c>
      <x:c r="C235" s="13" t="str">
        <x:v>C006</x:v>
      </x:c>
      <x:c r="D235" s="13" t="str">
        <x:v>P015</x:v>
      </x:c>
      <x:c r="E235" s="13" t="str">
        <x:v>GTA West</x:v>
      </x:c>
      <x:c r="F235" s="13" t="str">
        <x:v>Riley</x:v>
      </x:c>
      <x:c r="G235" s="13" t="n">
        <x:v>9</x:v>
      </x:c>
      <x:c r="H235" s="44" t="n">
        <x:v>34.36</x:v>
      </x:c>
      <x:c r="I235" s="38" t="n">
        <x:v>0.05</x:v>
      </x:c>
      <x:c r="J235" s="44" t="n">
        <x:v>293.78</x:v>
      </x:c>
      <x:c r="K235" s="13" t="str">
        <x:v>Completed</x:v>
      </x:c>
    </x:row>
    <x:row r="236">
      <x:c r="A236" s="13" t="str">
        <x:v>O0235</x:v>
      </x:c>
      <x:c r="B236" s="36" t="n">
        <x:v>46187</x:v>
      </x:c>
      <x:c r="C236" s="13" t="str">
        <x:v>C102</x:v>
      </x:c>
      <x:c r="D236" s="13" t="str">
        <x:v>P024</x:v>
      </x:c>
      <x:c r="E236" s="13" t="str">
        <x:v>GTA West</x:v>
      </x:c>
      <x:c r="F236" s="13" t="str">
        <x:v>Riley</x:v>
      </x:c>
      <x:c r="G236" s="13" t="n">
        <x:v>11</x:v>
      </x:c>
      <x:c r="H236" s="44" t="n">
        <x:v>19.12</x:v>
      </x:c>
      <x:c r="I236" s="38" t="n">
        <x:v>0</x:v>
      </x:c>
      <x:c r="J236" s="44" t="n">
        <x:v>210.32</x:v>
      </x:c>
      <x:c r="K236" s="13" t="str">
        <x:v>Completed</x:v>
      </x:c>
    </x:row>
    <x:row r="237">
      <x:c r="A237" s="13" t="str">
        <x:v>O0236</x:v>
      </x:c>
      <x:c r="B237" s="36" t="n">
        <x:v>46194</x:v>
      </x:c>
      <x:c r="C237" s="13" t="str">
        <x:v>C006</x:v>
      </x:c>
      <x:c r="D237" s="13" t="str">
        <x:v>P016</x:v>
      </x:c>
      <x:c r="E237" s="13" t="str">
        <x:v>Western Canada</x:v>
      </x:c>
      <x:c r="F237" s="13" t="str">
        <x:v>Riley</x:v>
      </x:c>
      <x:c r="G237" s="13" t="n">
        <x:v>4</x:v>
      </x:c>
      <x:c r="H237" s="44" t="n">
        <x:v>23.5</x:v>
      </x:c>
      <x:c r="I237" s="38" t="n">
        <x:v>0</x:v>
      </x:c>
      <x:c r="J237" s="44" t="n">
        <x:v>94</x:v>
      </x:c>
      <x:c r="K237" s="13" t="str">
        <x:v>Cancelled</x:v>
      </x:c>
    </x:row>
    <x:row r="238">
      <x:c r="A238" s="13" t="str">
        <x:v>O0237</x:v>
      </x:c>
      <x:c r="B238" s="36" t="n">
        <x:v>46152</x:v>
      </x:c>
      <x:c r="C238" s="13" t="str">
        <x:v>C026</x:v>
      </x:c>
      <x:c r="D238" s="13" t="str">
        <x:v>P045</x:v>
      </x:c>
      <x:c r="E238" s="13" t="str">
        <x:v>Ottawa</x:v>
      </x:c>
      <x:c r="F238" s="13" t="str">
        <x:v>Riley</x:v>
      </x:c>
      <x:c r="G238" s="13" t="n">
        <x:v>12</x:v>
      </x:c>
      <x:c r="H238" s="44" t="n">
        <x:v>13.92</x:v>
      </x:c>
      <x:c r="I238" s="38" t="n">
        <x:v>0</x:v>
      </x:c>
      <x:c r="J238" s="44" t="n">
        <x:v>167.04</x:v>
      </x:c>
      <x:c r="K238" s="13" t="str">
        <x:v>Pending</x:v>
      </x:c>
    </x:row>
    <x:row r="239">
      <x:c r="A239" s="13" t="str">
        <x:v>O0238</x:v>
      </x:c>
      <x:c r="B239" s="36" t="n">
        <x:v>46124</x:v>
      </x:c>
      <x:c r="C239" s="13" t="str">
        <x:v>C136</x:v>
      </x:c>
      <x:c r="D239" s="13" t="str">
        <x:v>P003</x:v>
      </x:c>
      <x:c r="E239" s="13" t="str">
        <x:v>Ottawa</x:v>
      </x:c>
      <x:c r="F239" s="13" t="str">
        <x:v>Riley</x:v>
      </x:c>
      <x:c r="G239" s="13" t="n">
        <x:v>1</x:v>
      </x:c>
      <x:c r="H239" s="44" t="n">
        <x:v>29.94</x:v>
      </x:c>
      <x:c r="I239" s="38" t="n">
        <x:v>0.15</x:v>
      </x:c>
      <x:c r="J239" s="44" t="n">
        <x:v>25.45</x:v>
      </x:c>
      <x:c r="K239" s="13" t="str">
        <x:v>Completed</x:v>
      </x:c>
    </x:row>
    <x:row r="240">
      <x:c r="A240" s="13" t="str">
        <x:v>O0239</x:v>
      </x:c>
      <x:c r="B240" s="36" t="n">
        <x:v>46045</x:v>
      </x:c>
      <x:c r="C240" s="13" t="str">
        <x:v>C023</x:v>
      </x:c>
      <x:c r="D240" s="13" t="str">
        <x:v>P020</x:v>
      </x:c>
      <x:c r="E240" s="13" t="str">
        <x:v>Ottawa</x:v>
      </x:c>
      <x:c r="F240" s="13" t="str">
        <x:v>Casey</x:v>
      </x:c>
      <x:c r="G240" s="13" t="n">
        <x:v>8</x:v>
      </x:c>
      <x:c r="H240" s="44" t="n">
        <x:v>27.83</x:v>
      </x:c>
      <x:c r="I240" s="38" t="n">
        <x:v>0</x:v>
      </x:c>
      <x:c r="J240" s="44" t="n">
        <x:v>222.64</x:v>
      </x:c>
      <x:c r="K240" s="13" t="str">
        <x:v>Completed</x:v>
      </x:c>
    </x:row>
    <x:row r="241">
      <x:c r="A241" s="13" t="str">
        <x:v>O0240</x:v>
      </x:c>
      <x:c r="B241" s="36" t="n">
        <x:v>46162</x:v>
      </x:c>
      <x:c r="C241" s="13" t="str">
        <x:v>C077</x:v>
      </x:c>
      <x:c r="D241" s="13" t="str">
        <x:v>P061</x:v>
      </x:c>
      <x:c r="E241" s="13" t="str">
        <x:v>GTA West</x:v>
      </x:c>
      <x:c r="F241" s="13" t="str">
        <x:v>Avery</x:v>
      </x:c>
      <x:c r="G241" s="13" t="n">
        <x:v>9</x:v>
      </x:c>
      <x:c r="H241" s="44" t="n">
        <x:v>40.29</x:v>
      </x:c>
      <x:c r="I241" s="38" t="n">
        <x:v>0</x:v>
      </x:c>
      <x:c r="J241" s="44" t="n">
        <x:v>362.61</x:v>
      </x:c>
      <x:c r="K241" s="13" t="str">
        <x:v>Completed</x:v>
      </x:c>
    </x:row>
    <x:row r="242">
      <x:c r="A242" s="13" t="str">
        <x:v>O0241</x:v>
      </x:c>
      <x:c r="B242" s="36" t="n">
        <x:v>46174</x:v>
      </x:c>
      <x:c r="C242" s="13" t="str">
        <x:v>C025</x:v>
      </x:c>
      <x:c r="D242" s="13" t="str">
        <x:v>P053</x:v>
      </x:c>
      <x:c r="E242" s="13" t="str">
        <x:v>GTA West</x:v>
      </x:c>
      <x:c r="F242" s="13" t="str">
        <x:v>Riley</x:v>
      </x:c>
      <x:c r="G242" s="13" t="n">
        <x:v>5</x:v>
      </x:c>
      <x:c r="H242" s="44" t="n">
        <x:v>17.95</x:v>
      </x:c>
      <x:c r="I242" s="38" t="n">
        <x:v>0</x:v>
      </x:c>
      <x:c r="J242" s="44" t="n">
        <x:v>89.75</x:v>
      </x:c>
      <x:c r="K242" s="13" t="str">
        <x:v>Completed</x:v>
      </x:c>
    </x:row>
    <x:row r="243">
      <x:c r="A243" s="13" t="str">
        <x:v>O0242</x:v>
      </x:c>
      <x:c r="B243" s="36" t="n">
        <x:v>46193</x:v>
      </x:c>
      <x:c r="C243" s="13" t="str">
        <x:v>C132</x:v>
      </x:c>
      <x:c r="D243" s="13" t="str">
        <x:v>P016</x:v>
      </x:c>
      <x:c r="E243" s="13" t="str">
        <x:v>Southwestern ON</x:v>
      </x:c>
      <x:c r="F243" s="13" t="str">
        <x:v>Casey</x:v>
      </x:c>
      <x:c r="G243" s="13" t="n">
        <x:v>7</x:v>
      </x:c>
      <x:c r="H243" s="44" t="n">
        <x:v>23.5</x:v>
      </x:c>
      <x:c r="I243" s="38" t="n">
        <x:v>0</x:v>
      </x:c>
      <x:c r="J243" s="44" t="n">
        <x:v>164.5</x:v>
      </x:c>
      <x:c r="K243" s="13" t="str">
        <x:v>Pending</x:v>
      </x:c>
    </x:row>
    <x:row r="244">
      <x:c r="A244" s="13" t="str">
        <x:v>O0243</x:v>
      </x:c>
      <x:c r="B244" s="36" t="n">
        <x:v>46097</x:v>
      </x:c>
      <x:c r="C244" s="13" t="str">
        <x:v>C068</x:v>
      </x:c>
      <x:c r="D244" s="13" t="str">
        <x:v>P029</x:v>
      </x:c>
      <x:c r="E244" s="13" t="str">
        <x:v>Western Canada</x:v>
      </x:c>
      <x:c r="F244" s="13" t="str">
        <x:v>Morgan</x:v>
      </x:c>
      <x:c r="G244" s="13" t="n">
        <x:v>2</x:v>
      </x:c>
      <x:c r="H244" s="44" t="n">
        <x:v>15.29</x:v>
      </x:c>
      <x:c r="I244" s="38" t="n">
        <x:v>0.05</x:v>
      </x:c>
      <x:c r="J244" s="44" t="n">
        <x:v>29.05</x:v>
      </x:c>
      <x:c r="K244" s="13" t="str">
        <x:v>Completed</x:v>
      </x:c>
    </x:row>
    <x:row r="245">
      <x:c r="A245" s="13" t="str">
        <x:v>O0244</x:v>
      </x:c>
      <x:c r="B245" s="36" t="n">
        <x:v>46204</x:v>
      </x:c>
      <x:c r="C245" s="13" t="str">
        <x:v>C027</x:v>
      </x:c>
      <x:c r="D245" s="13" t="str">
        <x:v>P049</x:v>
      </x:c>
      <x:c r="E245" s="13" t="str">
        <x:v>Southwestern ON</x:v>
      </x:c>
      <x:c r="F245" s="13" t="str">
        <x:v>Morgan</x:v>
      </x:c>
      <x:c r="G245" s="13" t="n">
        <x:v>7</x:v>
      </x:c>
      <x:c r="H245" s="44" t="n">
        <x:v>28.04</x:v>
      </x:c>
      <x:c r="I245" s="38" t="n">
        <x:v>0</x:v>
      </x:c>
      <x:c r="J245" s="44" t="n">
        <x:v>196.28</x:v>
      </x:c>
      <x:c r="K245" s="13" t="str">
        <x:v>Completed</x:v>
      </x:c>
    </x:row>
    <x:row r="246">
      <x:c r="A246" s="13" t="str">
        <x:v>O0245</x:v>
      </x:c>
      <x:c r="B246" s="36" t="n">
        <x:v>46098</x:v>
      </x:c>
      <x:c r="C246" s="13" t="str">
        <x:v>C078</x:v>
      </x:c>
      <x:c r="D246" s="13" t="str">
        <x:v>P072</x:v>
      </x:c>
      <x:c r="E246" s="13" t="str">
        <x:v>Toronto</x:v>
      </x:c>
      <x:c r="F246" s="13" t="str">
        <x:v>Riley</x:v>
      </x:c>
      <x:c r="G246" s="13" t="n">
        <x:v>12</x:v>
      </x:c>
      <x:c r="H246" s="44" t="n">
        <x:v>38.37</x:v>
      </x:c>
      <x:c r="I246" s="38" t="n">
        <x:v>0</x:v>
      </x:c>
      <x:c r="J246" s="44" t="n">
        <x:v>460.44</x:v>
      </x:c>
      <x:c r="K246" s="13" t="str">
        <x:v>Completed</x:v>
      </x:c>
    </x:row>
    <x:row r="247">
      <x:c r="A247" s="13" t="str">
        <x:v>O0246</x:v>
      </x:c>
      <x:c r="B247" s="36" t="n">
        <x:v>46161</x:v>
      </x:c>
      <x:c r="C247" s="13" t="str">
        <x:v>C082</x:v>
      </x:c>
      <x:c r="D247" s="13" t="str">
        <x:v>P028</x:v>
      </x:c>
      <x:c r="E247" s="13" t="str">
        <x:v>Toronto</x:v>
      </x:c>
      <x:c r="F247" s="13" t="str">
        <x:v>Riley</x:v>
      </x:c>
      <x:c r="G247" s="13" t="n">
        <x:v>5</x:v>
      </x:c>
      <x:c r="H247" s="44" t="n">
        <x:v>27.55</x:v>
      </x:c>
      <x:c r="I247" s="38" t="n">
        <x:v>0</x:v>
      </x:c>
      <x:c r="J247" s="44" t="n">
        <x:v>137.75</x:v>
      </x:c>
      <x:c r="K247" s="13" t="str">
        <x:v>Completed</x:v>
      </x:c>
    </x:row>
    <x:row r="248">
      <x:c r="A248" s="13" t="str">
        <x:v>O0247</x:v>
      </x:c>
      <x:c r="B248" s="36" t="n">
        <x:v>46241</x:v>
      </x:c>
      <x:c r="C248" s="13" t="str">
        <x:v>C058</x:v>
      </x:c>
      <x:c r="D248" s="13" t="str">
        <x:v>P027</x:v>
      </x:c>
      <x:c r="E248" s="13" t="str">
        <x:v>Western Canada</x:v>
      </x:c>
      <x:c r="F248" s="13" t="str">
        <x:v>Riley</x:v>
      </x:c>
      <x:c r="G248" s="13" t="n">
        <x:v>12</x:v>
      </x:c>
      <x:c r="H248" s="44" t="n">
        <x:v>22.33</x:v>
      </x:c>
      <x:c r="I248" s="38" t="n">
        <x:v>0.05</x:v>
      </x:c>
      <x:c r="J248" s="44" t="n">
        <x:v>254.56</x:v>
      </x:c>
      <x:c r="K248" s="13" t="str">
        <x:v>Completed</x:v>
      </x:c>
    </x:row>
    <x:row r="249">
      <x:c r="A249" s="13" t="str">
        <x:v>O0248</x:v>
      </x:c>
      <x:c r="B249" s="36" t="n">
        <x:v>46209</x:v>
      </x:c>
      <x:c r="C249" s="13" t="str">
        <x:v>C101</x:v>
      </x:c>
      <x:c r="D249" s="13" t="str">
        <x:v>P048</x:v>
      </x:c>
      <x:c r="E249" s="13" t="str">
        <x:v>Ottawa</x:v>
      </x:c>
      <x:c r="F249" s="13" t="str">
        <x:v>Morgan</x:v>
      </x:c>
      <x:c r="G249" s="13" t="n">
        <x:v>5</x:v>
      </x:c>
      <x:c r="H249" s="44" t="n">
        <x:v>29.97</x:v>
      </x:c>
      <x:c r="I249" s="38" t="n">
        <x:v>0.1</x:v>
      </x:c>
      <x:c r="J249" s="44" t="n">
        <x:v>134.87</x:v>
      </x:c>
      <x:c r="K249" s="13" t="str">
        <x:v>Completed</x:v>
      </x:c>
    </x:row>
    <x:row r="250">
      <x:c r="A250" s="13" t="str">
        <x:v>O0249</x:v>
      </x:c>
      <x:c r="B250" s="36" t="n">
        <x:v>46147</x:v>
      </x:c>
      <x:c r="C250" s="13" t="str">
        <x:v>C090</x:v>
      </x:c>
      <x:c r="D250" s="13" t="str">
        <x:v>P003</x:v>
      </x:c>
      <x:c r="E250" s="13" t="str">
        <x:v>Ottawa</x:v>
      </x:c>
      <x:c r="F250" s="13" t="str">
        <x:v>Morgan</x:v>
      </x:c>
      <x:c r="G250" s="13" t="n">
        <x:v>3</x:v>
      </x:c>
      <x:c r="H250" s="44" t="n">
        <x:v>29.94</x:v>
      </x:c>
      <x:c r="I250" s="38" t="n">
        <x:v>0.1</x:v>
      </x:c>
      <x:c r="J250" s="44" t="n">
        <x:v>80.84</x:v>
      </x:c>
      <x:c r="K250" s="13" t="str">
        <x:v>Completed</x:v>
      </x:c>
    </x:row>
    <x:row r="251">
      <x:c r="A251" s="13" t="str">
        <x:v>O0250</x:v>
      </x:c>
      <x:c r="B251" s="36" t="n">
        <x:v>46161</x:v>
      </x:c>
      <x:c r="C251" s="13" t="str">
        <x:v>C063</x:v>
      </x:c>
      <x:c r="D251" s="13" t="str">
        <x:v>P055</x:v>
      </x:c>
      <x:c r="E251" s="13" t="str">
        <x:v>Ottawa</x:v>
      </x:c>
      <x:c r="F251" s="13" t="str">
        <x:v>Riley</x:v>
      </x:c>
      <x:c r="G251" s="13" t="n">
        <x:v>3</x:v>
      </x:c>
      <x:c r="H251" s="44" t="n">
        <x:v>30.71</x:v>
      </x:c>
      <x:c r="I251" s="38" t="n">
        <x:v>0</x:v>
      </x:c>
      <x:c r="J251" s="44" t="n">
        <x:v>92.13</x:v>
      </x:c>
      <x:c r="K251" s="13" t="str">
        <x:v>Completed</x:v>
      </x:c>
    </x:row>
    <x:row r="252">
      <x:c r="A252" s="13" t="str">
        <x:v>O0251</x:v>
      </x:c>
      <x:c r="B252" s="36" t="n">
        <x:v>46224</x:v>
      </x:c>
      <x:c r="C252" s="13" t="str">
        <x:v>C116</x:v>
      </x:c>
      <x:c r="D252" s="13" t="str">
        <x:v>P009</x:v>
      </x:c>
      <x:c r="E252" s="13" t="str">
        <x:v>Ottawa</x:v>
      </x:c>
      <x:c r="F252" s="13" t="str">
        <x:v>Morgan</x:v>
      </x:c>
      <x:c r="G252" s="13" t="n">
        <x:v>3</x:v>
      </x:c>
      <x:c r="H252" s="44" t="n">
        <x:v>29.42</x:v>
      </x:c>
      <x:c r="I252" s="38" t="n">
        <x:v>0</x:v>
      </x:c>
      <x:c r="J252" s="44" t="n">
        <x:v>88.26</x:v>
      </x:c>
      <x:c r="K252" s="13" t="str">
        <x:v>Pending</x:v>
      </x:c>
    </x:row>
    <x:row r="253">
      <x:c r="A253" s="13" t="str">
        <x:v>O0252</x:v>
      </x:c>
      <x:c r="B253" s="36" t="n">
        <x:v>46139</x:v>
      </x:c>
      <x:c r="C253" s="13" t="str">
        <x:v>C014</x:v>
      </x:c>
      <x:c r="D253" s="13" t="str">
        <x:v>P075</x:v>
      </x:c>
      <x:c r="E253" s="13" t="str">
        <x:v>GTA West</x:v>
      </x:c>
      <x:c r="F253" s="13" t="str">
        <x:v>Taylor</x:v>
      </x:c>
      <x:c r="G253" s="13" t="n">
        <x:v>3</x:v>
      </x:c>
      <x:c r="H253" s="44" t="n">
        <x:v>34.28</x:v>
      </x:c>
      <x:c r="I253" s="38" t="n">
        <x:v>0.05</x:v>
      </x:c>
      <x:c r="J253" s="44" t="n">
        <x:v>97.7</x:v>
      </x:c>
      <x:c r="K253" s="13" t="str">
        <x:v>Completed</x:v>
      </x:c>
    </x:row>
    <x:row r="254">
      <x:c r="A254" s="13" t="str">
        <x:v>O0253</x:v>
      </x:c>
      <x:c r="B254" s="36" t="n">
        <x:v>46078</x:v>
      </x:c>
      <x:c r="C254" s="13" t="str">
        <x:v>C086</x:v>
      </x:c>
      <x:c r="D254" s="13" t="str">
        <x:v>P016</x:v>
      </x:c>
      <x:c r="E254" s="13" t="str">
        <x:v>GTA West</x:v>
      </x:c>
      <x:c r="F254" s="13" t="str">
        <x:v>Jordan</x:v>
      </x:c>
      <x:c r="G254" s="13" t="n">
        <x:v>7</x:v>
      </x:c>
      <x:c r="H254" s="44" t="n">
        <x:v>23.5</x:v>
      </x:c>
      <x:c r="I254" s="38" t="n">
        <x:v>0.15</x:v>
      </x:c>
      <x:c r="J254" s="44" t="n">
        <x:v>139.82</x:v>
      </x:c>
      <x:c r="K254" s="13" t="str">
        <x:v>Completed</x:v>
      </x:c>
    </x:row>
    <x:row r="255">
      <x:c r="A255" s="13" t="str">
        <x:v>O0254</x:v>
      </x:c>
      <x:c r="B255" s="36" t="n">
        <x:v>46105</x:v>
      </x:c>
      <x:c r="C255" s="13" t="str">
        <x:v>C050</x:v>
      </x:c>
      <x:c r="D255" s="13" t="str">
        <x:v>P058</x:v>
      </x:c>
      <x:c r="E255" s="13" t="str">
        <x:v>Toronto</x:v>
      </x:c>
      <x:c r="F255" s="13" t="str">
        <x:v>Avery</x:v>
      </x:c>
      <x:c r="G255" s="13" t="n">
        <x:v>2</x:v>
      </x:c>
      <x:c r="H255" s="44" t="n">
        <x:v>36.09</x:v>
      </x:c>
      <x:c r="I255" s="38" t="n">
        <x:v>0</x:v>
      </x:c>
      <x:c r="J255" s="44" t="n">
        <x:v>72.18</x:v>
      </x:c>
      <x:c r="K255" s="13" t="str">
        <x:v>Completed</x:v>
      </x:c>
    </x:row>
    <x:row r="256">
      <x:c r="A256" s="13" t="str">
        <x:v>O0255</x:v>
      </x:c>
      <x:c r="B256" s="36" t="n">
        <x:v>46182</x:v>
      </x:c>
      <x:c r="C256" s="13" t="str">
        <x:v>C071</x:v>
      </x:c>
      <x:c r="D256" s="13" t="str">
        <x:v>P001</x:v>
      </x:c>
      <x:c r="E256" s="13" t="str">
        <x:v>Ottawa</x:v>
      </x:c>
      <x:c r="F256" s="13" t="str">
        <x:v>Jordan</x:v>
      </x:c>
      <x:c r="G256" s="13" t="n">
        <x:v>1</x:v>
      </x:c>
      <x:c r="H256" s="44" t="n">
        <x:v>12.66</x:v>
      </x:c>
      <x:c r="I256" s="38" t="n">
        <x:v>0</x:v>
      </x:c>
      <x:c r="J256" s="44" t="n">
        <x:v>12.66</x:v>
      </x:c>
      <x:c r="K256" s="13" t="str">
        <x:v>Completed</x:v>
      </x:c>
    </x:row>
    <x:row r="257">
      <x:c r="A257" s="13" t="str">
        <x:v>O0256</x:v>
      </x:c>
      <x:c r="B257" s="36" t="n">
        <x:v>46132</x:v>
      </x:c>
      <x:c r="C257" s="13" t="str">
        <x:v>C118</x:v>
      </x:c>
      <x:c r="D257" s="13" t="str">
        <x:v>P042</x:v>
      </x:c>
      <x:c r="E257" s="13" t="str">
        <x:v>Ottawa</x:v>
      </x:c>
      <x:c r="F257" s="13" t="str">
        <x:v>Riley</x:v>
      </x:c>
      <x:c r="G257" s="13" t="n">
        <x:v>4</x:v>
      </x:c>
      <x:c r="H257" s="44" t="n">
        <x:v>26.28</x:v>
      </x:c>
      <x:c r="I257" s="38" t="n">
        <x:v>0</x:v>
      </x:c>
      <x:c r="J257" s="44" t="n">
        <x:v>105.12</x:v>
      </x:c>
      <x:c r="K257" s="13" t="str">
        <x:v>Completed</x:v>
      </x:c>
    </x:row>
    <x:row r="258">
      <x:c r="A258" s="13" t="str">
        <x:v>O0257</x:v>
      </x:c>
      <x:c r="B258" s="36" t="n">
        <x:v>46074</x:v>
      </x:c>
      <x:c r="C258" s="13" t="str">
        <x:v>C028</x:v>
      </x:c>
      <x:c r="D258" s="13" t="str">
        <x:v>P002</x:v>
      </x:c>
      <x:c r="E258" s="13" t="str">
        <x:v>GTA West</x:v>
      </x:c>
      <x:c r="F258" s="13" t="str">
        <x:v>Morgan</x:v>
      </x:c>
      <x:c r="G258" s="13" t="n">
        <x:v>3</x:v>
      </x:c>
      <x:c r="H258" s="44" t="n">
        <x:v>32.04</x:v>
      </x:c>
      <x:c r="I258" s="38" t="n">
        <x:v>0</x:v>
      </x:c>
      <x:c r="J258" s="44" t="n">
        <x:v>96.12</x:v>
      </x:c>
      <x:c r="K258" s="13" t="str">
        <x:v>Completed</x:v>
      </x:c>
    </x:row>
    <x:row r="259">
      <x:c r="A259" s="13" t="str">
        <x:v>O0258</x:v>
      </x:c>
      <x:c r="B259" s="36" t="n">
        <x:v>46183</x:v>
      </x:c>
      <x:c r="C259" s="13" t="str">
        <x:v>C066</x:v>
      </x:c>
      <x:c r="D259" s="13" t="str">
        <x:v>P046</x:v>
      </x:c>
      <x:c r="E259" s="13" t="str">
        <x:v>Western Canada</x:v>
      </x:c>
      <x:c r="F259" s="13" t="str">
        <x:v>Morgan</x:v>
      </x:c>
      <x:c r="G259" s="13" t="n">
        <x:v>1</x:v>
      </x:c>
      <x:c r="H259" s="44" t="n">
        <x:v>15.24</x:v>
      </x:c>
      <x:c r="I259" s="38" t="n">
        <x:v>0.15</x:v>
      </x:c>
      <x:c r="J259" s="44" t="n">
        <x:v>12.95</x:v>
      </x:c>
      <x:c r="K259" s="13" t="str">
        <x:v>Completed</x:v>
      </x:c>
    </x:row>
    <x:row r="260">
      <x:c r="A260" s="13" t="str">
        <x:v>O0259</x:v>
      </x:c>
      <x:c r="B260" s="36" t="n">
        <x:v>46249</x:v>
      </x:c>
      <x:c r="C260" s="13" t="str">
        <x:v>C062</x:v>
      </x:c>
      <x:c r="D260" s="13" t="str">
        <x:v>P040</x:v>
      </x:c>
      <x:c r="E260" s="13" t="str">
        <x:v>Ottawa</x:v>
      </x:c>
      <x:c r="F260" s="13" t="str">
        <x:v>Morgan</x:v>
      </x:c>
      <x:c r="G260" s="13" t="n">
        <x:v>3</x:v>
      </x:c>
      <x:c r="H260" s="44" t="n">
        <x:v>15.6</x:v>
      </x:c>
      <x:c r="I260" s="38" t="n">
        <x:v>0.15</x:v>
      </x:c>
      <x:c r="J260" s="44" t="n">
        <x:v>39.78</x:v>
      </x:c>
      <x:c r="K260" s="13" t="str">
        <x:v>Completed</x:v>
      </x:c>
    </x:row>
    <x:row r="261">
      <x:c r="A261" s="13" t="str">
        <x:v>O0260</x:v>
      </x:c>
      <x:c r="B261" s="36" t="n">
        <x:v>46100</x:v>
      </x:c>
      <x:c r="C261" s="13" t="str">
        <x:v>C137</x:v>
      </x:c>
      <x:c r="D261" s="13" t="str">
        <x:v>P036</x:v>
      </x:c>
      <x:c r="E261" s="13" t="str">
        <x:v>Western Canada</x:v>
      </x:c>
      <x:c r="F261" s="13" t="str">
        <x:v>Avery</x:v>
      </x:c>
      <x:c r="G261" s="13" t="n">
        <x:v>9</x:v>
      </x:c>
      <x:c r="H261" s="44" t="n">
        <x:v>24.04</x:v>
      </x:c>
      <x:c r="I261" s="38" t="n">
        <x:v>0</x:v>
      </x:c>
      <x:c r="J261" s="44" t="n">
        <x:v>216.36</x:v>
      </x:c>
      <x:c r="K261" s="13" t="str">
        <x:v>Pending</x:v>
      </x:c>
    </x:row>
    <x:row r="262">
      <x:c r="A262" s="13" t="str">
        <x:v>O0261</x:v>
      </x:c>
      <x:c r="B262" s="36" t="n">
        <x:v>46054</x:v>
      </x:c>
      <x:c r="C262" s="13" t="str">
        <x:v>C140</x:v>
      </x:c>
      <x:c r="D262" s="13" t="str">
        <x:v>P020</x:v>
      </x:c>
      <x:c r="E262" s="13" t="str">
        <x:v>GTA West</x:v>
      </x:c>
      <x:c r="F262" s="13" t="str">
        <x:v>Morgan</x:v>
      </x:c>
      <x:c r="G262" s="13" t="n">
        <x:v>6</x:v>
      </x:c>
      <x:c r="H262" s="44" t="n">
        <x:v>27.83</x:v>
      </x:c>
      <x:c r="I262" s="38" t="n">
        <x:v>0</x:v>
      </x:c>
      <x:c r="J262" s="44" t="n">
        <x:v>166.98</x:v>
      </x:c>
      <x:c r="K262" s="13" t="str">
        <x:v>Pending</x:v>
      </x:c>
    </x:row>
    <x:row r="263">
      <x:c r="A263" s="13" t="str">
        <x:v>O0262</x:v>
      </x:c>
      <x:c r="B263" s="36" t="n">
        <x:v>46046</x:v>
      </x:c>
      <x:c r="C263" s="13" t="str">
        <x:v>C094</x:v>
      </x:c>
      <x:c r="D263" s="13" t="str">
        <x:v>P053</x:v>
      </x:c>
      <x:c r="E263" s="13" t="str">
        <x:v>Southwestern ON</x:v>
      </x:c>
      <x:c r="F263" s="13" t="str">
        <x:v>Taylor</x:v>
      </x:c>
      <x:c r="G263" s="13" t="n">
        <x:v>11</x:v>
      </x:c>
      <x:c r="H263" s="44" t="n">
        <x:v>17.95</x:v>
      </x:c>
      <x:c r="I263" s="38" t="n">
        <x:v>0.1</x:v>
      </x:c>
      <x:c r="J263" s="44" t="n">
        <x:v>177.7</x:v>
      </x:c>
      <x:c r="K263" s="13" t="str">
        <x:v>Completed</x:v>
      </x:c>
    </x:row>
    <x:row r="264">
      <x:c r="A264" s="13" t="str">
        <x:v>O0263</x:v>
      </x:c>
      <x:c r="B264" s="36" t="n">
        <x:v>46130</x:v>
      </x:c>
      <x:c r="C264" s="13" t="str">
        <x:v>C076</x:v>
      </x:c>
      <x:c r="D264" s="13" t="str">
        <x:v>P071</x:v>
      </x:c>
      <x:c r="E264" s="13" t="str">
        <x:v>Toronto</x:v>
      </x:c>
      <x:c r="F264" s="13" t="str">
        <x:v>Riley</x:v>
      </x:c>
      <x:c r="G264" s="13" t="n">
        <x:v>1</x:v>
      </x:c>
      <x:c r="H264" s="44" t="n">
        <x:v>66.69</x:v>
      </x:c>
      <x:c r="I264" s="38" t="n">
        <x:v>0.1</x:v>
      </x:c>
      <x:c r="J264" s="44" t="n">
        <x:v>60.02</x:v>
      </x:c>
      <x:c r="K264" s="13" t="str">
        <x:v>Completed</x:v>
      </x:c>
    </x:row>
    <x:row r="265">
      <x:c r="A265" s="13" t="str">
        <x:v>O0264</x:v>
      </x:c>
      <x:c r="B265" s="36" t="n">
        <x:v>46076</x:v>
      </x:c>
      <x:c r="C265" s="13" t="str">
        <x:v>C110</x:v>
      </x:c>
      <x:c r="D265" s="13" t="str">
        <x:v>P020</x:v>
      </x:c>
      <x:c r="E265" s="13" t="str">
        <x:v>Western Canada</x:v>
      </x:c>
      <x:c r="F265" s="13" t="str">
        <x:v>Casey</x:v>
      </x:c>
      <x:c r="G265" s="13" t="n">
        <x:v>3</x:v>
      </x:c>
      <x:c r="H265" s="44" t="n">
        <x:v>27.83</x:v>
      </x:c>
      <x:c r="I265" s="38" t="n">
        <x:v>0</x:v>
      </x:c>
      <x:c r="J265" s="44" t="n">
        <x:v>83.49</x:v>
      </x:c>
      <x:c r="K265" s="13" t="str">
        <x:v>Completed</x:v>
      </x:c>
    </x:row>
    <x:row r="266">
      <x:c r="A266" s="13" t="str">
        <x:v>O0265</x:v>
      </x:c>
      <x:c r="B266" s="36" t="n">
        <x:v>46239</x:v>
      </x:c>
      <x:c r="C266" s="13" t="str">
        <x:v>C072</x:v>
      </x:c>
      <x:c r="D266" s="13" t="str">
        <x:v>P029</x:v>
      </x:c>
      <x:c r="E266" s="13" t="str">
        <x:v>Western Canada</x:v>
      </x:c>
      <x:c r="F266" s="13" t="str">
        <x:v>Casey</x:v>
      </x:c>
      <x:c r="G266" s="13" t="n">
        <x:v>12</x:v>
      </x:c>
      <x:c r="H266" s="44" t="n">
        <x:v>15.29</x:v>
      </x:c>
      <x:c r="I266" s="38" t="n">
        <x:v>0.1</x:v>
      </x:c>
      <x:c r="J266" s="44" t="n">
        <x:v>165.13</x:v>
      </x:c>
      <x:c r="K266" s="13" t="str">
        <x:v>Pending</x:v>
      </x:c>
    </x:row>
    <x:row r="267">
      <x:c r="A267" s="13" t="str">
        <x:v>O0266</x:v>
      </x:c>
      <x:c r="B267" s="36" t="n">
        <x:v>46139</x:v>
      </x:c>
      <x:c r="C267" s="13" t="str">
        <x:v>C026</x:v>
      </x:c>
      <x:c r="D267" s="13" t="str">
        <x:v>P070</x:v>
      </x:c>
      <x:c r="E267" s="13" t="str">
        <x:v>Southwestern ON</x:v>
      </x:c>
      <x:c r="F267" s="13" t="str">
        <x:v>Jordan</x:v>
      </x:c>
      <x:c r="G267" s="13" t="n">
        <x:v>3</x:v>
      </x:c>
      <x:c r="H267" s="44" t="n">
        <x:v>36.65</x:v>
      </x:c>
      <x:c r="I267" s="38" t="n">
        <x:v>0.15</x:v>
      </x:c>
      <x:c r="J267" s="44" t="n">
        <x:v>93.46</x:v>
      </x:c>
      <x:c r="K267" s="13" t="str">
        <x:v>Pending</x:v>
      </x:c>
    </x:row>
    <x:row r="268">
      <x:c r="A268" s="13" t="str">
        <x:v>O0267</x:v>
      </x:c>
      <x:c r="B268" s="36" t="n">
        <x:v>46088</x:v>
      </x:c>
      <x:c r="C268" s="13" t="str">
        <x:v>C044</x:v>
      </x:c>
      <x:c r="D268" s="13" t="str">
        <x:v>P042</x:v>
      </x:c>
      <x:c r="E268" s="13" t="str">
        <x:v>Toronto</x:v>
      </x:c>
      <x:c r="F268" s="13" t="str">
        <x:v>Morgan</x:v>
      </x:c>
      <x:c r="G268" s="13" t="n">
        <x:v>10</x:v>
      </x:c>
      <x:c r="H268" s="44" t="n">
        <x:v>26.28</x:v>
      </x:c>
      <x:c r="I268" s="38" t="n">
        <x:v>0.1</x:v>
      </x:c>
      <x:c r="J268" s="44" t="n">
        <x:v>236.52</x:v>
      </x:c>
      <x:c r="K268" s="13" t="str">
        <x:v>Completed</x:v>
      </x:c>
    </x:row>
    <x:row r="269">
      <x:c r="A269" s="13" t="str">
        <x:v>O0268</x:v>
      </x:c>
      <x:c r="B269" s="36" t="n">
        <x:v>46192</x:v>
      </x:c>
      <x:c r="C269" s="13" t="str">
        <x:v>C069</x:v>
      </x:c>
      <x:c r="D269" s="13" t="str">
        <x:v>P047</x:v>
      </x:c>
      <x:c r="E269" s="13" t="str">
        <x:v>GTA West</x:v>
      </x:c>
      <x:c r="F269" s="13" t="str">
        <x:v>Riley</x:v>
      </x:c>
      <x:c r="G269" s="13" t="n">
        <x:v>2</x:v>
      </x:c>
      <x:c r="H269" s="44" t="n">
        <x:v>30.55</x:v>
      </x:c>
      <x:c r="I269" s="38" t="n">
        <x:v>0</x:v>
      </x:c>
      <x:c r="J269" s="44" t="n">
        <x:v>61.1</x:v>
      </x:c>
      <x:c r="K269" s="13" t="str">
        <x:v>Pending</x:v>
      </x:c>
    </x:row>
    <x:row r="270">
      <x:c r="A270" s="13" t="str">
        <x:v>O0269</x:v>
      </x:c>
      <x:c r="B270" s="36" t="n">
        <x:v>46077</x:v>
      </x:c>
      <x:c r="C270" s="13" t="str">
        <x:v>C003</x:v>
      </x:c>
      <x:c r="D270" s="13" t="str">
        <x:v>P036</x:v>
      </x:c>
      <x:c r="E270" s="13" t="str">
        <x:v>Southwestern ON</x:v>
      </x:c>
      <x:c r="F270" s="13" t="str">
        <x:v>Morgan</x:v>
      </x:c>
      <x:c r="G270" s="13" t="n">
        <x:v>1</x:v>
      </x:c>
      <x:c r="H270" s="44" t="n">
        <x:v>24.04</x:v>
      </x:c>
      <x:c r="I270" s="38" t="n">
        <x:v>0.1</x:v>
      </x:c>
      <x:c r="J270" s="44" t="n">
        <x:v>21.64</x:v>
      </x:c>
      <x:c r="K270" s="13" t="str">
        <x:v>Completed</x:v>
      </x:c>
    </x:row>
    <x:row r="271">
      <x:c r="A271" s="13" t="str">
        <x:v>O0270</x:v>
      </x:c>
      <x:c r="B271" s="36" t="n">
        <x:v>46187</x:v>
      </x:c>
      <x:c r="C271" s="13" t="str">
        <x:v>C021</x:v>
      </x:c>
      <x:c r="D271" s="13" t="str">
        <x:v>P057</x:v>
      </x:c>
      <x:c r="E271" s="13" t="str">
        <x:v>Toronto</x:v>
      </x:c>
      <x:c r="F271" s="13" t="str">
        <x:v>Riley</x:v>
      </x:c>
      <x:c r="G271" s="13" t="n">
        <x:v>1</x:v>
      </x:c>
      <x:c r="H271" s="44" t="n">
        <x:v>16.91</x:v>
      </x:c>
      <x:c r="I271" s="38" t="n">
        <x:v>0.1</x:v>
      </x:c>
      <x:c r="J271" s="44" t="n">
        <x:v>15.22</x:v>
      </x:c>
      <x:c r="K271" s="13" t="str">
        <x:v>Cancelled</x:v>
      </x:c>
    </x:row>
    <x:row r="272">
      <x:c r="A272" s="13" t="str">
        <x:v>O0271</x:v>
      </x:c>
      <x:c r="B272" s="36" t="n">
        <x:v>46237</x:v>
      </x:c>
      <x:c r="C272" s="13" t="str">
        <x:v>C106</x:v>
      </x:c>
      <x:c r="D272" s="13" t="str">
        <x:v>P007</x:v>
      </x:c>
      <x:c r="E272" s="13" t="str">
        <x:v>Southwestern ON</x:v>
      </x:c>
      <x:c r="F272" s="13" t="str">
        <x:v>Taylor</x:v>
      </x:c>
      <x:c r="G272" s="13" t="n">
        <x:v>2</x:v>
      </x:c>
      <x:c r="H272" s="44" t="n">
        <x:v>31.23</x:v>
      </x:c>
      <x:c r="I272" s="38" t="n">
        <x:v>0.1</x:v>
      </x:c>
      <x:c r="J272" s="44" t="n">
        <x:v>56.21</x:v>
      </x:c>
      <x:c r="K272" s="13" t="str">
        <x:v>Completed</x:v>
      </x:c>
    </x:row>
    <x:row r="273">
      <x:c r="A273" s="13" t="str">
        <x:v>O0272</x:v>
      </x:c>
      <x:c r="B273" s="36" t="n">
        <x:v>46136</x:v>
      </x:c>
      <x:c r="C273" s="13" t="str">
        <x:v>C023</x:v>
      </x:c>
      <x:c r="D273" s="13" t="str">
        <x:v>P002</x:v>
      </x:c>
      <x:c r="E273" s="13" t="str">
        <x:v>Toronto</x:v>
      </x:c>
      <x:c r="F273" s="13" t="str">
        <x:v>Morgan</x:v>
      </x:c>
      <x:c r="G273" s="13" t="n">
        <x:v>6</x:v>
      </x:c>
      <x:c r="H273" s="44" t="n">
        <x:v>32.04</x:v>
      </x:c>
      <x:c r="I273" s="38" t="n">
        <x:v>0</x:v>
      </x:c>
      <x:c r="J273" s="44" t="n">
        <x:v>192.24</x:v>
      </x:c>
      <x:c r="K273" s="13" t="str">
        <x:v>Cancelled</x:v>
      </x:c>
    </x:row>
    <x:row r="274">
      <x:c r="A274" s="13" t="str">
        <x:v>O0273</x:v>
      </x:c>
      <x:c r="B274" s="36" t="n">
        <x:v>46223</x:v>
      </x:c>
      <x:c r="C274" s="13" t="str">
        <x:v>C098</x:v>
      </x:c>
      <x:c r="D274" s="13" t="str">
        <x:v>P043</x:v>
      </x:c>
      <x:c r="E274" s="13" t="str">
        <x:v>Ottawa</x:v>
      </x:c>
      <x:c r="F274" s="13" t="str">
        <x:v>Jordan</x:v>
      </x:c>
      <x:c r="G274" s="13" t="n">
        <x:v>5</x:v>
      </x:c>
      <x:c r="H274" s="44" t="n">
        <x:v>38.14</x:v>
      </x:c>
      <x:c r="I274" s="38" t="n">
        <x:v>0</x:v>
      </x:c>
      <x:c r="J274" s="44" t="n">
        <x:v>190.7</x:v>
      </x:c>
      <x:c r="K274" s="13" t="str">
        <x:v>Completed</x:v>
      </x:c>
    </x:row>
    <x:row r="275">
      <x:c r="A275" s="13" t="str">
        <x:v>O0274</x:v>
      </x:c>
      <x:c r="B275" s="36" t="n">
        <x:v>46038</x:v>
      </x:c>
      <x:c r="C275" s="13" t="str">
        <x:v>C108</x:v>
      </x:c>
      <x:c r="D275" s="13" t="str">
        <x:v>P055</x:v>
      </x:c>
      <x:c r="E275" s="13" t="str">
        <x:v>Toronto</x:v>
      </x:c>
      <x:c r="F275" s="13" t="str">
        <x:v>Taylor</x:v>
      </x:c>
      <x:c r="G275" s="13" t="n">
        <x:v>11</x:v>
      </x:c>
      <x:c r="H275" s="44" t="n">
        <x:v>30.71</x:v>
      </x:c>
      <x:c r="I275" s="38" t="n">
        <x:v>0.1</x:v>
      </x:c>
      <x:c r="J275" s="44" t="n">
        <x:v>304.03</x:v>
      </x:c>
      <x:c r="K275" s="13" t="str">
        <x:v>Cancelled</x:v>
      </x:c>
    </x:row>
    <x:row r="276">
      <x:c r="A276" s="13" t="str">
        <x:v>O0275</x:v>
      </x:c>
      <x:c r="B276" s="36" t="n">
        <x:v>46083</x:v>
      </x:c>
      <x:c r="C276" s="13" t="str">
        <x:v>C003</x:v>
      </x:c>
      <x:c r="D276" s="13" t="str">
        <x:v>P060</x:v>
      </x:c>
      <x:c r="E276" s="13" t="str">
        <x:v>Toronto</x:v>
      </x:c>
      <x:c r="F276" s="13" t="str">
        <x:v>Taylor</x:v>
      </x:c>
      <x:c r="G276" s="13" t="n">
        <x:v>8</x:v>
      </x:c>
      <x:c r="H276" s="44" t="n">
        <x:v>21.75</x:v>
      </x:c>
      <x:c r="I276" s="38" t="n">
        <x:v>0.1</x:v>
      </x:c>
      <x:c r="J276" s="44" t="n">
        <x:v>156.6</x:v>
      </x:c>
      <x:c r="K276" s="13" t="str">
        <x:v>Completed</x:v>
      </x:c>
    </x:row>
    <x:row r="277">
      <x:c r="A277" s="13" t="str">
        <x:v>O0276</x:v>
      </x:c>
      <x:c r="B277" s="36" t="n">
        <x:v>46227</x:v>
      </x:c>
      <x:c r="C277" s="13" t="str">
        <x:v>C132</x:v>
      </x:c>
      <x:c r="D277" s="13" t="str">
        <x:v>P049</x:v>
      </x:c>
      <x:c r="E277" s="13" t="str">
        <x:v>Toronto</x:v>
      </x:c>
      <x:c r="F277" s="13" t="str">
        <x:v>Riley</x:v>
      </x:c>
      <x:c r="G277" s="13" t="n">
        <x:v>4</x:v>
      </x:c>
      <x:c r="H277" s="44" t="n">
        <x:v>28.04</x:v>
      </x:c>
      <x:c r="I277" s="38" t="n">
        <x:v>0.1</x:v>
      </x:c>
      <x:c r="J277" s="44" t="n">
        <x:v>100.94</x:v>
      </x:c>
      <x:c r="K277" s="13" t="str">
        <x:v>Completed</x:v>
      </x:c>
    </x:row>
    <x:row r="278">
      <x:c r="A278" s="13" t="str">
        <x:v>O0277</x:v>
      </x:c>
      <x:c r="B278" s="36" t="n">
        <x:v>46112</x:v>
      </x:c>
      <x:c r="C278" s="13" t="str">
        <x:v>C116</x:v>
      </x:c>
      <x:c r="D278" s="13" t="str">
        <x:v>P074</x:v>
      </x:c>
      <x:c r="E278" s="13" t="str">
        <x:v>Toronto</x:v>
      </x:c>
      <x:c r="F278" s="13" t="str">
        <x:v>Jordan</x:v>
      </x:c>
      <x:c r="G278" s="13" t="n">
        <x:v>11</x:v>
      </x:c>
      <x:c r="H278" s="44" t="n">
        <x:v>24.37</x:v>
      </x:c>
      <x:c r="I278" s="38" t="n">
        <x:v>0.1</x:v>
      </x:c>
      <x:c r="J278" s="44" t="n">
        <x:v>241.26</x:v>
      </x:c>
      <x:c r="K278" s="13" t="str">
        <x:v>Cancelled</x:v>
      </x:c>
    </x:row>
    <x:row r="279">
      <x:c r="A279" s="13" t="str">
        <x:v>O0278</x:v>
      </x:c>
      <x:c r="B279" s="36" t="n">
        <x:v>46229</x:v>
      </x:c>
      <x:c r="C279" s="13" t="str">
        <x:v>C048</x:v>
      </x:c>
      <x:c r="D279" s="13" t="str">
        <x:v>P019</x:v>
      </x:c>
      <x:c r="E279" s="13" t="str">
        <x:v>Toronto</x:v>
      </x:c>
      <x:c r="F279" s="13" t="str">
        <x:v>Casey</x:v>
      </x:c>
      <x:c r="G279" s="13" t="n">
        <x:v>4</x:v>
      </x:c>
      <x:c r="H279" s="44" t="n">
        <x:v>30.91</x:v>
      </x:c>
      <x:c r="I279" s="38" t="n">
        <x:v>0</x:v>
      </x:c>
      <x:c r="J279" s="44" t="n">
        <x:v>123.64</x:v>
      </x:c>
      <x:c r="K279" s="13" t="str">
        <x:v>Completed</x:v>
      </x:c>
    </x:row>
    <x:row r="280">
      <x:c r="A280" s="13" t="str">
        <x:v>O0279</x:v>
      </x:c>
      <x:c r="B280" s="36" t="n">
        <x:v>46160</x:v>
      </x:c>
      <x:c r="C280" s="13" t="str">
        <x:v>C029</x:v>
      </x:c>
      <x:c r="D280" s="13" t="str">
        <x:v>P013</x:v>
      </x:c>
      <x:c r="E280" s="13" t="str">
        <x:v>Southwestern ON</x:v>
      </x:c>
      <x:c r="F280" s="13" t="str">
        <x:v>Taylor</x:v>
      </x:c>
      <x:c r="G280" s="13" t="n">
        <x:v>12</x:v>
      </x:c>
      <x:c r="H280" s="44" t="n">
        <x:v>12.07</x:v>
      </x:c>
      <x:c r="I280" s="38" t="n">
        <x:v>0.1</x:v>
      </x:c>
      <x:c r="J280" s="44" t="n">
        <x:v>130.36</x:v>
      </x:c>
      <x:c r="K280" s="13" t="str">
        <x:v>Cancelled</x:v>
      </x:c>
    </x:row>
    <x:row r="281">
      <x:c r="A281" s="13" t="str">
        <x:v>O0280</x:v>
      </x:c>
      <x:c r="B281" s="36" t="n">
        <x:v>46217</x:v>
      </x:c>
      <x:c r="C281" s="13" t="str">
        <x:v>C103</x:v>
      </x:c>
      <x:c r="D281" s="13" t="str">
        <x:v>P051</x:v>
      </x:c>
      <x:c r="E281" s="13" t="str">
        <x:v>Western Canada</x:v>
      </x:c>
      <x:c r="F281" s="13" t="str">
        <x:v>Riley</x:v>
      </x:c>
      <x:c r="G281" s="13" t="n">
        <x:v>2</x:v>
      </x:c>
      <x:c r="H281" s="44" t="n">
        <x:v>33.88</x:v>
      </x:c>
      <x:c r="I281" s="38" t="n">
        <x:v>0</x:v>
      </x:c>
      <x:c r="J281" s="44" t="n">
        <x:v>67.76</x:v>
      </x:c>
      <x:c r="K281" s="13" t="str">
        <x:v>Completed</x:v>
      </x:c>
    </x:row>
    <x:row r="282">
      <x:c r="A282" s="13" t="str">
        <x:v>O0281</x:v>
      </x:c>
      <x:c r="B282" s="36" t="n">
        <x:v>46066</x:v>
      </x:c>
      <x:c r="C282" s="13" t="str">
        <x:v>C066</x:v>
      </x:c>
      <x:c r="D282" s="13" t="str">
        <x:v>P010</x:v>
      </x:c>
      <x:c r="E282" s="13" t="str">
        <x:v>GTA West</x:v>
      </x:c>
      <x:c r="F282" s="13" t="str">
        <x:v>Riley</x:v>
      </x:c>
      <x:c r="G282" s="13" t="n">
        <x:v>3</x:v>
      </x:c>
      <x:c r="H282" s="44" t="n">
        <x:v>26.15</x:v>
      </x:c>
      <x:c r="I282" s="38" t="n">
        <x:v>0</x:v>
      </x:c>
      <x:c r="J282" s="44" t="n">
        <x:v>78.45</x:v>
      </x:c>
      <x:c r="K282" s="13" t="str">
        <x:v>Completed</x:v>
      </x:c>
    </x:row>
    <x:row r="283">
      <x:c r="A283" s="13" t="str">
        <x:v>O0282</x:v>
      </x:c>
      <x:c r="B283" s="36" t="n">
        <x:v>46154</x:v>
      </x:c>
      <x:c r="C283" s="13" t="str">
        <x:v>C021</x:v>
      </x:c>
      <x:c r="D283" s="13" t="str">
        <x:v>P037</x:v>
      </x:c>
      <x:c r="E283" s="13" t="str">
        <x:v>Ottawa</x:v>
      </x:c>
      <x:c r="F283" s="13" t="str">
        <x:v>Jordan</x:v>
      </x:c>
      <x:c r="G283" s="13" t="n">
        <x:v>8</x:v>
      </x:c>
      <x:c r="H283" s="44" t="n">
        <x:v>36.84</x:v>
      </x:c>
      <x:c r="I283" s="38" t="n">
        <x:v>0</x:v>
      </x:c>
      <x:c r="J283" s="44" t="n">
        <x:v>294.72</x:v>
      </x:c>
      <x:c r="K283" s="13" t="str">
        <x:v>Completed</x:v>
      </x:c>
    </x:row>
    <x:row r="284">
      <x:c r="A284" s="13" t="str">
        <x:v>O0283</x:v>
      </x:c>
      <x:c r="B284" s="36" t="n">
        <x:v>46143</x:v>
      </x:c>
      <x:c r="C284" s="13" t="str">
        <x:v>C018</x:v>
      </x:c>
      <x:c r="D284" s="13" t="str">
        <x:v>P053</x:v>
      </x:c>
      <x:c r="E284" s="13" t="str">
        <x:v>GTA West</x:v>
      </x:c>
      <x:c r="F284" s="13" t="str">
        <x:v>Casey</x:v>
      </x:c>
      <x:c r="G284" s="13" t="n">
        <x:v>3</x:v>
      </x:c>
      <x:c r="H284" s="44" t="n">
        <x:v>17.95</x:v>
      </x:c>
      <x:c r="I284" s="38" t="n">
        <x:v>0.15</x:v>
      </x:c>
      <x:c r="J284" s="44" t="n">
        <x:v>45.77</x:v>
      </x:c>
      <x:c r="K284" s="13" t="str">
        <x:v>Completed</x:v>
      </x:c>
    </x:row>
    <x:row r="285">
      <x:c r="A285" s="13" t="str">
        <x:v>O0284</x:v>
      </x:c>
      <x:c r="B285" s="36" t="n">
        <x:v>46077</x:v>
      </x:c>
      <x:c r="C285" s="13" t="str">
        <x:v>C103</x:v>
      </x:c>
      <x:c r="D285" s="13" t="str">
        <x:v>P053</x:v>
      </x:c>
      <x:c r="E285" s="13" t="str">
        <x:v>Western Canada</x:v>
      </x:c>
      <x:c r="F285" s="13" t="str">
        <x:v>Morgan</x:v>
      </x:c>
      <x:c r="G285" s="13" t="n">
        <x:v>12</x:v>
      </x:c>
      <x:c r="H285" s="44" t="n">
        <x:v>17.95</x:v>
      </x:c>
      <x:c r="I285" s="38" t="n">
        <x:v>0.05</x:v>
      </x:c>
      <x:c r="J285" s="44" t="n">
        <x:v>204.63</x:v>
      </x:c>
      <x:c r="K285" s="13" t="str">
        <x:v>Completed</x:v>
      </x:c>
    </x:row>
    <x:row r="286">
      <x:c r="A286" s="13" t="str">
        <x:v>O0285</x:v>
      </x:c>
      <x:c r="B286" s="36" t="n">
        <x:v>46198</x:v>
      </x:c>
      <x:c r="C286" s="13" t="str">
        <x:v>C123</x:v>
      </x:c>
      <x:c r="D286" s="13" t="str">
        <x:v>P012</x:v>
      </x:c>
      <x:c r="E286" s="13" t="str">
        <x:v>Ottawa</x:v>
      </x:c>
      <x:c r="F286" s="13" t="str">
        <x:v>Taylor</x:v>
      </x:c>
      <x:c r="G286" s="13" t="n">
        <x:v>7</x:v>
      </x:c>
      <x:c r="H286" s="44" t="n">
        <x:v>21.04</x:v>
      </x:c>
      <x:c r="I286" s="38" t="n">
        <x:v>0.05</x:v>
      </x:c>
      <x:c r="J286" s="44" t="n">
        <x:v>139.92</x:v>
      </x:c>
      <x:c r="K286" s="13" t="str">
        <x:v>Cancelled</x:v>
      </x:c>
    </x:row>
    <x:row r="287">
      <x:c r="A287" s="13" t="str">
        <x:v>O0286</x:v>
      </x:c>
      <x:c r="B287" s="36" t="n">
        <x:v>46238</x:v>
      </x:c>
      <x:c r="C287" s="13" t="str">
        <x:v>C003</x:v>
      </x:c>
      <x:c r="D287" s="13" t="str">
        <x:v>P061</x:v>
      </x:c>
      <x:c r="E287" s="13" t="str">
        <x:v>GTA West</x:v>
      </x:c>
      <x:c r="F287" s="13" t="str">
        <x:v>Casey</x:v>
      </x:c>
      <x:c r="G287" s="13" t="n">
        <x:v>3</x:v>
      </x:c>
      <x:c r="H287" s="44" t="n">
        <x:v>40.29</x:v>
      </x:c>
      <x:c r="I287" s="38" t="n">
        <x:v>0</x:v>
      </x:c>
      <x:c r="J287" s="44" t="n">
        <x:v>120.87</x:v>
      </x:c>
      <x:c r="K287" s="13" t="str">
        <x:v>Completed</x:v>
      </x:c>
    </x:row>
    <x:row r="288">
      <x:c r="A288" s="13" t="str">
        <x:v>O0287</x:v>
      </x:c>
      <x:c r="B288" s="36" t="n">
        <x:v>46046</x:v>
      </x:c>
      <x:c r="C288" s="13" t="str">
        <x:v>C034</x:v>
      </x:c>
      <x:c r="D288" s="13" t="str">
        <x:v>P059</x:v>
      </x:c>
      <x:c r="E288" s="13" t="str">
        <x:v>Western Canada</x:v>
      </x:c>
      <x:c r="F288" s="13" t="str">
        <x:v>Taylor</x:v>
      </x:c>
      <x:c r="G288" s="13" t="n">
        <x:v>5</x:v>
      </x:c>
      <x:c r="H288" s="44" t="n">
        <x:v>25.22</x:v>
      </x:c>
      <x:c r="I288" s="38" t="n">
        <x:v>0.15</x:v>
      </x:c>
      <x:c r="J288" s="44" t="n">
        <x:v>107.18</x:v>
      </x:c>
      <x:c r="K288" s="13" t="str">
        <x:v>Cancelled</x:v>
      </x:c>
    </x:row>
    <x:row r="289">
      <x:c r="A289" s="13" t="str">
        <x:v>O0288</x:v>
      </x:c>
      <x:c r="B289" s="36" t="n">
        <x:v>46059</x:v>
      </x:c>
      <x:c r="C289" s="13" t="str">
        <x:v>C060</x:v>
      </x:c>
      <x:c r="D289" s="13" t="str">
        <x:v>P049</x:v>
      </x:c>
      <x:c r="E289" s="13" t="str">
        <x:v>Western Canada</x:v>
      </x:c>
      <x:c r="F289" s="13" t="str">
        <x:v>Jordan</x:v>
      </x:c>
      <x:c r="G289" s="13" t="n">
        <x:v>7</x:v>
      </x:c>
      <x:c r="H289" s="44" t="n">
        <x:v>28.04</x:v>
      </x:c>
      <x:c r="I289" s="38" t="n">
        <x:v>0</x:v>
      </x:c>
      <x:c r="J289" s="44" t="n">
        <x:v>196.28</x:v>
      </x:c>
      <x:c r="K289" s="13" t="str">
        <x:v>Pending</x:v>
      </x:c>
    </x:row>
    <x:row r="290">
      <x:c r="A290" s="13" t="str">
        <x:v>O0289</x:v>
      </x:c>
      <x:c r="B290" s="36" t="n">
        <x:v>46203</x:v>
      </x:c>
      <x:c r="C290" s="13" t="str">
        <x:v>C062</x:v>
      </x:c>
      <x:c r="D290" s="13" t="str">
        <x:v>P052</x:v>
      </x:c>
      <x:c r="E290" s="13" t="str">
        <x:v>Toronto</x:v>
      </x:c>
      <x:c r="F290" s="13" t="str">
        <x:v>Casey</x:v>
      </x:c>
      <x:c r="G290" s="13" t="n">
        <x:v>7</x:v>
      </x:c>
      <x:c r="H290" s="44" t="n">
        <x:v>22.35</x:v>
      </x:c>
      <x:c r="I290" s="38" t="n">
        <x:v>0.05</x:v>
      </x:c>
      <x:c r="J290" s="44" t="n">
        <x:v>148.63</x:v>
      </x:c>
      <x:c r="K290" s="13" t="str">
        <x:v>Pending</x:v>
      </x:c>
    </x:row>
    <x:row r="291">
      <x:c r="A291" s="13" t="str">
        <x:v>O0290</x:v>
      </x:c>
      <x:c r="B291" s="36" t="n">
        <x:v>46222</x:v>
      </x:c>
      <x:c r="C291" s="13" t="str">
        <x:v>C032</x:v>
      </x:c>
      <x:c r="D291" s="13" t="str">
        <x:v>P033</x:v>
      </x:c>
      <x:c r="E291" s="13" t="str">
        <x:v>Western Canada</x:v>
      </x:c>
      <x:c r="F291" s="13" t="str">
        <x:v>Riley</x:v>
      </x:c>
      <x:c r="G291" s="13" t="n">
        <x:v>5</x:v>
      </x:c>
      <x:c r="H291" s="44" t="n">
        <x:v>18.86</x:v>
      </x:c>
      <x:c r="I291" s="38" t="n">
        <x:v>0</x:v>
      </x:c>
      <x:c r="J291" s="44" t="n">
        <x:v>94.3</x:v>
      </x:c>
      <x:c r="K291" s="13" t="str">
        <x:v>Pending</x:v>
      </x:c>
    </x:row>
    <x:row r="292">
      <x:c r="A292" s="13" t="str">
        <x:v>O0291</x:v>
      </x:c>
      <x:c r="B292" s="36" t="n">
        <x:v>46224</x:v>
      </x:c>
      <x:c r="C292" s="13" t="str">
        <x:v>C007</x:v>
      </x:c>
      <x:c r="D292" s="13" t="str">
        <x:v>P066</x:v>
      </x:c>
      <x:c r="E292" s="13" t="str">
        <x:v>Ottawa</x:v>
      </x:c>
      <x:c r="F292" s="13" t="str">
        <x:v>Avery</x:v>
      </x:c>
      <x:c r="G292" s="13" t="n">
        <x:v>10</x:v>
      </x:c>
      <x:c r="H292" s="44" t="n">
        <x:v>32.55</x:v>
      </x:c>
      <x:c r="I292" s="38" t="n">
        <x:v>0</x:v>
      </x:c>
      <x:c r="J292" s="44" t="n">
        <x:v>325.5</x:v>
      </x:c>
      <x:c r="K292" s="13" t="str">
        <x:v>Cancelled</x:v>
      </x:c>
    </x:row>
    <x:row r="293">
      <x:c r="A293" s="13" t="str">
        <x:v>O0292</x:v>
      </x:c>
      <x:c r="B293" s="36" t="n">
        <x:v>46129</x:v>
      </x:c>
      <x:c r="C293" s="13" t="str">
        <x:v>C038</x:v>
      </x:c>
      <x:c r="D293" s="13" t="str">
        <x:v>P043</x:v>
      </x:c>
      <x:c r="E293" s="13" t="str">
        <x:v>Southwestern ON</x:v>
      </x:c>
      <x:c r="F293" s="13" t="str">
        <x:v>Jordan</x:v>
      </x:c>
      <x:c r="G293" s="13" t="n">
        <x:v>6</x:v>
      </x:c>
      <x:c r="H293" s="44" t="n">
        <x:v>38.14</x:v>
      </x:c>
      <x:c r="I293" s="38" t="n">
        <x:v>0</x:v>
      </x:c>
      <x:c r="J293" s="44" t="n">
        <x:v>228.84</x:v>
      </x:c>
      <x:c r="K293" s="13" t="str">
        <x:v>Completed</x:v>
      </x:c>
    </x:row>
    <x:row r="294">
      <x:c r="A294" s="13" t="str">
        <x:v>O0293</x:v>
      </x:c>
      <x:c r="B294" s="36" t="n">
        <x:v>46197</x:v>
      </x:c>
      <x:c r="C294" s="13" t="str">
        <x:v>C051</x:v>
      </x:c>
      <x:c r="D294" s="13" t="str">
        <x:v>P075</x:v>
      </x:c>
      <x:c r="E294" s="13" t="str">
        <x:v>Southwestern ON</x:v>
      </x:c>
      <x:c r="F294" s="13" t="str">
        <x:v>Avery</x:v>
      </x:c>
      <x:c r="G294" s="13" t="n">
        <x:v>5</x:v>
      </x:c>
      <x:c r="H294" s="44" t="n">
        <x:v>34.28</x:v>
      </x:c>
      <x:c r="I294" s="38" t="n">
        <x:v>0.1</x:v>
      </x:c>
      <x:c r="J294" s="44" t="n">
        <x:v>154.26</x:v>
      </x:c>
      <x:c r="K294" s="13" t="str">
        <x:v>Completed</x:v>
      </x:c>
    </x:row>
    <x:row r="295">
      <x:c r="A295" s="13" t="str">
        <x:v>O0294</x:v>
      </x:c>
      <x:c r="B295" s="36" t="n">
        <x:v>46105</x:v>
      </x:c>
      <x:c r="C295" s="13" t="str">
        <x:v>C016</x:v>
      </x:c>
      <x:c r="D295" s="13" t="str">
        <x:v>P032</x:v>
      </x:c>
      <x:c r="E295" s="13" t="str">
        <x:v>Southwestern ON</x:v>
      </x:c>
      <x:c r="F295" s="13" t="str">
        <x:v>Riley</x:v>
      </x:c>
      <x:c r="G295" s="13" t="n">
        <x:v>10</x:v>
      </x:c>
      <x:c r="H295" s="44" t="n">
        <x:v>38.71</x:v>
      </x:c>
      <x:c r="I295" s="38" t="n">
        <x:v>0.1</x:v>
      </x:c>
      <x:c r="J295" s="44" t="n">
        <x:v>348.39</x:v>
      </x:c>
      <x:c r="K295" s="13" t="str">
        <x:v>Completed</x:v>
      </x:c>
    </x:row>
    <x:row r="296">
      <x:c r="A296" s="13" t="str">
        <x:v>O0295</x:v>
      </x:c>
      <x:c r="B296" s="36" t="n">
        <x:v>46136</x:v>
      </x:c>
      <x:c r="C296" s="13" t="str">
        <x:v>C002</x:v>
      </x:c>
      <x:c r="D296" s="13" t="str">
        <x:v>P069</x:v>
      </x:c>
      <x:c r="E296" s="13" t="str">
        <x:v>GTA West</x:v>
      </x:c>
      <x:c r="F296" s="13" t="str">
        <x:v>Riley</x:v>
      </x:c>
      <x:c r="G296" s="13" t="n">
        <x:v>6</x:v>
      </x:c>
      <x:c r="H296" s="44" t="n">
        <x:v>59</x:v>
      </x:c>
      <x:c r="I296" s="38" t="n">
        <x:v>0</x:v>
      </x:c>
      <x:c r="J296" s="44" t="n">
        <x:v>354</x:v>
      </x:c>
      <x:c r="K296" s="13" t="str">
        <x:v>Completed</x:v>
      </x:c>
    </x:row>
    <x:row r="297">
      <x:c r="A297" s="13" t="str">
        <x:v>O0296</x:v>
      </x:c>
      <x:c r="B297" s="36" t="n">
        <x:v>46108</x:v>
      </x:c>
      <x:c r="C297" s="13" t="str">
        <x:v>C025</x:v>
      </x:c>
      <x:c r="D297" s="13" t="str">
        <x:v>P013</x:v>
      </x:c>
      <x:c r="E297" s="13" t="str">
        <x:v>Western Canada</x:v>
      </x:c>
      <x:c r="F297" s="13" t="str">
        <x:v>Riley</x:v>
      </x:c>
      <x:c r="G297" s="13" t="n">
        <x:v>6</x:v>
      </x:c>
      <x:c r="H297" s="44" t="n">
        <x:v>12.07</x:v>
      </x:c>
      <x:c r="I297" s="38" t="n">
        <x:v>0</x:v>
      </x:c>
      <x:c r="J297" s="44" t="n">
        <x:v>72.42</x:v>
      </x:c>
      <x:c r="K297" s="13" t="str">
        <x:v>Completed</x:v>
      </x:c>
    </x:row>
    <x:row r="298">
      <x:c r="A298" s="13" t="str">
        <x:v>O0297</x:v>
      </x:c>
      <x:c r="B298" s="36" t="n">
        <x:v>46111</x:v>
      </x:c>
      <x:c r="C298" s="13" t="str">
        <x:v>C054</x:v>
      </x:c>
      <x:c r="D298" s="13" t="str">
        <x:v>P066</x:v>
      </x:c>
      <x:c r="E298" s="13" t="str">
        <x:v>Ottawa</x:v>
      </x:c>
      <x:c r="F298" s="13" t="str">
        <x:v>Morgan</x:v>
      </x:c>
      <x:c r="G298" s="13" t="n">
        <x:v>12</x:v>
      </x:c>
      <x:c r="H298" s="44" t="n">
        <x:v>32.55</x:v>
      </x:c>
      <x:c r="I298" s="38" t="n">
        <x:v>0.15</x:v>
      </x:c>
      <x:c r="J298" s="44" t="n">
        <x:v>332.01</x:v>
      </x:c>
      <x:c r="K298" s="13" t="str">
        <x:v>Completed</x:v>
      </x:c>
    </x:row>
    <x:row r="299">
      <x:c r="A299" s="13" t="str">
        <x:v>O0298</x:v>
      </x:c>
      <x:c r="B299" s="36" t="n">
        <x:v>46235</x:v>
      </x:c>
      <x:c r="C299" s="13" t="str">
        <x:v>C067</x:v>
      </x:c>
      <x:c r="D299" s="13" t="str">
        <x:v>P067</x:v>
      </x:c>
      <x:c r="E299" s="13" t="str">
        <x:v>Southwestern ON</x:v>
      </x:c>
      <x:c r="F299" s="13" t="str">
        <x:v>Riley</x:v>
      </x:c>
      <x:c r="G299" s="13" t="n">
        <x:v>5</x:v>
      </x:c>
      <x:c r="H299" s="44" t="n">
        <x:v>39.47</x:v>
      </x:c>
      <x:c r="I299" s="38" t="n">
        <x:v>0</x:v>
      </x:c>
      <x:c r="J299" s="44" t="n">
        <x:v>197.35</x:v>
      </x:c>
      <x:c r="K299" s="13" t="str">
        <x:v>Completed</x:v>
      </x:c>
    </x:row>
    <x:row r="300">
      <x:c r="A300" s="13" t="str">
        <x:v>O0299</x:v>
      </x:c>
      <x:c r="B300" s="36" t="n">
        <x:v>46108</x:v>
      </x:c>
      <x:c r="C300" s="13" t="str">
        <x:v>C124</x:v>
      </x:c>
      <x:c r="D300" s="13" t="str">
        <x:v>P038</x:v>
      </x:c>
      <x:c r="E300" s="13" t="str">
        <x:v>Southwestern ON</x:v>
      </x:c>
      <x:c r="F300" s="13" t="str">
        <x:v>Riley</x:v>
      </x:c>
      <x:c r="G300" s="13" t="n">
        <x:v>9</x:v>
      </x:c>
      <x:c r="H300" s="44" t="n">
        <x:v>30.26</x:v>
      </x:c>
      <x:c r="I300" s="38" t="n">
        <x:v>0.05</x:v>
      </x:c>
      <x:c r="J300" s="44" t="n">
        <x:v>258.72</x:v>
      </x:c>
      <x:c r="K300" s="13" t="str">
        <x:v>Cancelled</x:v>
      </x:c>
    </x:row>
    <x:row r="301">
      <x:c r="A301" s="13" t="str">
        <x:v>O0300</x:v>
      </x:c>
      <x:c r="B301" s="36" t="n">
        <x:v>46220</x:v>
      </x:c>
      <x:c r="C301" s="13" t="str">
        <x:v>C116</x:v>
      </x:c>
      <x:c r="D301" s="13" t="str">
        <x:v>P025</x:v>
      </x:c>
      <x:c r="E301" s="13" t="str">
        <x:v>Ottawa</x:v>
      </x:c>
      <x:c r="F301" s="13" t="str">
        <x:v>Casey</x:v>
      </x:c>
      <x:c r="G301" s="13" t="n">
        <x:v>4</x:v>
      </x:c>
      <x:c r="H301" s="44" t="n">
        <x:v>23.27</x:v>
      </x:c>
      <x:c r="I301" s="38" t="n">
        <x:v>0</x:v>
      </x:c>
      <x:c r="J301" s="44" t="n">
        <x:v>93.08</x:v>
      </x:c>
      <x:c r="K301" s="13" t="str">
        <x:v>Completed</x:v>
      </x:c>
    </x:row>
    <x:row r="302">
      <x:c r="A302" s="13" t="str">
        <x:v>O0301</x:v>
      </x:c>
      <x:c r="B302" s="36" t="n">
        <x:v>46047</x:v>
      </x:c>
      <x:c r="C302" s="13" t="str">
        <x:v>C004</x:v>
      </x:c>
      <x:c r="D302" s="13" t="str">
        <x:v>P064</x:v>
      </x:c>
      <x:c r="E302" s="13" t="str">
        <x:v>Southwestern ON</x:v>
      </x:c>
      <x:c r="F302" s="13" t="str">
        <x:v>Morgan</x:v>
      </x:c>
      <x:c r="G302" s="13" t="n">
        <x:v>1</x:v>
      </x:c>
      <x:c r="H302" s="44" t="n">
        <x:v>36.07</x:v>
      </x:c>
      <x:c r="I302" s="38" t="n">
        <x:v>0.1</x:v>
      </x:c>
      <x:c r="J302" s="44" t="n">
        <x:v>32.46</x:v>
      </x:c>
      <x:c r="K302" s="13" t="str">
        <x:v>Completed</x:v>
      </x:c>
    </x:row>
    <x:row r="303">
      <x:c r="A303" s="13" t="str">
        <x:v>O0302</x:v>
      </x:c>
      <x:c r="B303" s="36" t="n">
        <x:v>46227</x:v>
      </x:c>
      <x:c r="C303" s="13" t="str">
        <x:v>C066</x:v>
      </x:c>
      <x:c r="D303" s="13" t="str">
        <x:v>P068</x:v>
      </x:c>
      <x:c r="E303" s="13" t="str">
        <x:v>Ottawa</x:v>
      </x:c>
      <x:c r="F303" s="13" t="str">
        <x:v>Avery</x:v>
      </x:c>
      <x:c r="G303" s="13" t="n">
        <x:v>10</x:v>
      </x:c>
      <x:c r="H303" s="44" t="n">
        <x:v>50.69</x:v>
      </x:c>
      <x:c r="I303" s="38" t="n">
        <x:v>0.1</x:v>
      </x:c>
      <x:c r="J303" s="44" t="n">
        <x:v>456.21</x:v>
      </x:c>
      <x:c r="K303" s="13" t="str">
        <x:v>Completed</x:v>
      </x:c>
    </x:row>
    <x:row r="304">
      <x:c r="A304" s="13" t="str">
        <x:v>O0303</x:v>
      </x:c>
      <x:c r="B304" s="36" t="n">
        <x:v>46051</x:v>
      </x:c>
      <x:c r="C304" s="13" t="str">
        <x:v>C130</x:v>
      </x:c>
      <x:c r="D304" s="13" t="str">
        <x:v>P009</x:v>
      </x:c>
      <x:c r="E304" s="13" t="str">
        <x:v>Western Canada</x:v>
      </x:c>
      <x:c r="F304" s="13" t="str">
        <x:v>Morgan</x:v>
      </x:c>
      <x:c r="G304" s="13" t="n">
        <x:v>8</x:v>
      </x:c>
      <x:c r="H304" s="44" t="n">
        <x:v>29.42</x:v>
      </x:c>
      <x:c r="I304" s="38" t="n">
        <x:v>0</x:v>
      </x:c>
      <x:c r="J304" s="44" t="n">
        <x:v>235.36</x:v>
      </x:c>
      <x:c r="K304" s="13" t="str">
        <x:v>Completed</x:v>
      </x:c>
    </x:row>
    <x:row r="305">
      <x:c r="A305" s="13" t="str">
        <x:v>O0304</x:v>
      </x:c>
      <x:c r="B305" s="36" t="n">
        <x:v>46059</x:v>
      </x:c>
      <x:c r="C305" s="13" t="str">
        <x:v>C046</x:v>
      </x:c>
      <x:c r="D305" s="13" t="str">
        <x:v>P019</x:v>
      </x:c>
      <x:c r="E305" s="13" t="str">
        <x:v>Ottawa</x:v>
      </x:c>
      <x:c r="F305" s="13" t="str">
        <x:v>Morgan</x:v>
      </x:c>
      <x:c r="G305" s="13" t="n">
        <x:v>10</x:v>
      </x:c>
      <x:c r="H305" s="44" t="n">
        <x:v>30.91</x:v>
      </x:c>
      <x:c r="I305" s="38" t="n">
        <x:v>0</x:v>
      </x:c>
      <x:c r="J305" s="44" t="n">
        <x:v>309.1</x:v>
      </x:c>
      <x:c r="K305" s="13" t="str">
        <x:v>Completed</x:v>
      </x:c>
    </x:row>
    <x:row r="306">
      <x:c r="A306" s="13" t="str">
        <x:v>O0305</x:v>
      </x:c>
      <x:c r="B306" s="36" t="n">
        <x:v>46187</x:v>
      </x:c>
      <x:c r="C306" s="13" t="str">
        <x:v>C044</x:v>
      </x:c>
      <x:c r="D306" s="13" t="str">
        <x:v>P017</x:v>
      </x:c>
      <x:c r="E306" s="13" t="str">
        <x:v>Toronto</x:v>
      </x:c>
      <x:c r="F306" s="13" t="str">
        <x:v>Morgan</x:v>
      </x:c>
      <x:c r="G306" s="13" t="n">
        <x:v>12</x:v>
      </x:c>
      <x:c r="H306" s="44" t="n">
        <x:v>10.74</x:v>
      </x:c>
      <x:c r="I306" s="38" t="n">
        <x:v>0</x:v>
      </x:c>
      <x:c r="J306" s="44" t="n">
        <x:v>128.88</x:v>
      </x:c>
      <x:c r="K306" s="13" t="str">
        <x:v>Completed</x:v>
      </x:c>
    </x:row>
    <x:row r="307">
      <x:c r="A307" s="13" t="str">
        <x:v>O0306</x:v>
      </x:c>
      <x:c r="B307" s="36" t="n">
        <x:v>46233</x:v>
      </x:c>
      <x:c r="C307" s="13" t="str">
        <x:v>C017</x:v>
      </x:c>
      <x:c r="D307" s="13" t="str">
        <x:v>P008</x:v>
      </x:c>
      <x:c r="E307" s="13" t="str">
        <x:v>Ottawa</x:v>
      </x:c>
      <x:c r="F307" s="13" t="str">
        <x:v>Riley</x:v>
      </x:c>
      <x:c r="G307" s="13" t="n">
        <x:v>12</x:v>
      </x:c>
      <x:c r="H307" s="44" t="n">
        <x:v>24.86</x:v>
      </x:c>
      <x:c r="I307" s="38" t="n">
        <x:v>0</x:v>
      </x:c>
      <x:c r="J307" s="44" t="n">
        <x:v>298.32</x:v>
      </x:c>
      <x:c r="K307" s="13" t="str">
        <x:v>Completed</x:v>
      </x:c>
    </x:row>
    <x:row r="308">
      <x:c r="A308" s="13" t="str">
        <x:v>O0307</x:v>
      </x:c>
      <x:c r="B308" s="36" t="n">
        <x:v>46088</x:v>
      </x:c>
      <x:c r="C308" s="13" t="str">
        <x:v>C069</x:v>
      </x:c>
      <x:c r="D308" s="13" t="str">
        <x:v>P046</x:v>
      </x:c>
      <x:c r="E308" s="13" t="str">
        <x:v>Western Canada</x:v>
      </x:c>
      <x:c r="F308" s="13" t="str">
        <x:v>Avery</x:v>
      </x:c>
      <x:c r="G308" s="13" t="n">
        <x:v>6</x:v>
      </x:c>
      <x:c r="H308" s="44" t="n">
        <x:v>15.24</x:v>
      </x:c>
      <x:c r="I308" s="38" t="n">
        <x:v>0</x:v>
      </x:c>
      <x:c r="J308" s="44" t="n">
        <x:v>91.44</x:v>
      </x:c>
      <x:c r="K308" s="13" t="str">
        <x:v>Completed</x:v>
      </x:c>
    </x:row>
    <x:row r="309">
      <x:c r="A309" s="13" t="str">
        <x:v>O0308</x:v>
      </x:c>
      <x:c r="B309" s="36" t="n">
        <x:v>46109</x:v>
      </x:c>
      <x:c r="C309" s="13" t="str">
        <x:v>C139</x:v>
      </x:c>
      <x:c r="D309" s="13" t="str">
        <x:v>P024</x:v>
      </x:c>
      <x:c r="E309" s="13" t="str">
        <x:v>Ottawa</x:v>
      </x:c>
      <x:c r="F309" s="13" t="str">
        <x:v>Avery</x:v>
      </x:c>
      <x:c r="G309" s="13" t="n">
        <x:v>9</x:v>
      </x:c>
      <x:c r="H309" s="44" t="n">
        <x:v>19.12</x:v>
      </x:c>
      <x:c r="I309" s="38" t="n">
        <x:v>0.05</x:v>
      </x:c>
      <x:c r="J309" s="44" t="n">
        <x:v>163.48</x:v>
      </x:c>
      <x:c r="K309" s="13" t="str">
        <x:v>Completed</x:v>
      </x:c>
    </x:row>
    <x:row r="310">
      <x:c r="A310" s="13" t="str">
        <x:v>O0309</x:v>
      </x:c>
      <x:c r="B310" s="36" t="n">
        <x:v>46170</x:v>
      </x:c>
      <x:c r="C310" s="13" t="str">
        <x:v>C002</x:v>
      </x:c>
      <x:c r="D310" s="13" t="str">
        <x:v>P042</x:v>
      </x:c>
      <x:c r="E310" s="13" t="str">
        <x:v>Southwestern ON</x:v>
      </x:c>
      <x:c r="F310" s="13" t="str">
        <x:v>Jordan</x:v>
      </x:c>
      <x:c r="G310" s="13" t="n">
        <x:v>7</x:v>
      </x:c>
      <x:c r="H310" s="44" t="n">
        <x:v>26.28</x:v>
      </x:c>
      <x:c r="I310" s="38" t="n">
        <x:v>0.05</x:v>
      </x:c>
      <x:c r="J310" s="44" t="n">
        <x:v>174.76</x:v>
      </x:c>
      <x:c r="K310" s="13" t="str">
        <x:v>Completed</x:v>
      </x:c>
    </x:row>
    <x:row r="311">
      <x:c r="A311" s="13" t="str">
        <x:v>O0310</x:v>
      </x:c>
      <x:c r="B311" s="36" t="n">
        <x:v>46069</x:v>
      </x:c>
      <x:c r="C311" s="13" t="str">
        <x:v>C043</x:v>
      </x:c>
      <x:c r="D311" s="13" t="str">
        <x:v>P053</x:v>
      </x:c>
      <x:c r="E311" s="13" t="str">
        <x:v>Ottawa</x:v>
      </x:c>
      <x:c r="F311" s="13" t="str">
        <x:v>Casey</x:v>
      </x:c>
      <x:c r="G311" s="13" t="n">
        <x:v>10</x:v>
      </x:c>
      <x:c r="H311" s="44" t="n">
        <x:v>17.95</x:v>
      </x:c>
      <x:c r="I311" s="38" t="n">
        <x:v>0.15</x:v>
      </x:c>
      <x:c r="J311" s="44" t="n">
        <x:v>152.57</x:v>
      </x:c>
      <x:c r="K311" s="13" t="str">
        <x:v>Completed</x:v>
      </x:c>
    </x:row>
    <x:row r="312">
      <x:c r="A312" s="13" t="str">
        <x:v>O0311</x:v>
      </x:c>
      <x:c r="B312" s="36" t="n">
        <x:v>46106</x:v>
      </x:c>
      <x:c r="C312" s="13" t="str">
        <x:v>C121</x:v>
      </x:c>
      <x:c r="D312" s="13" t="str">
        <x:v>P068</x:v>
      </x:c>
      <x:c r="E312" s="13" t="str">
        <x:v>Toronto</x:v>
      </x:c>
      <x:c r="F312" s="13" t="str">
        <x:v>Jordan</x:v>
      </x:c>
      <x:c r="G312" s="13" t="n">
        <x:v>10</x:v>
      </x:c>
      <x:c r="H312" s="44" t="n">
        <x:v>50.69</x:v>
      </x:c>
      <x:c r="I312" s="38" t="n">
        <x:v>0</x:v>
      </x:c>
      <x:c r="J312" s="44" t="n">
        <x:v>506.9</x:v>
      </x:c>
      <x:c r="K312" s="13" t="str">
        <x:v>Completed</x:v>
      </x:c>
    </x:row>
    <x:row r="313">
      <x:c r="A313" s="13" t="str">
        <x:v>O0312</x:v>
      </x:c>
      <x:c r="B313" s="36" t="n">
        <x:v>46112</x:v>
      </x:c>
      <x:c r="C313" s="13" t="str">
        <x:v>C031</x:v>
      </x:c>
      <x:c r="D313" s="13" t="str">
        <x:v>P062</x:v>
      </x:c>
      <x:c r="E313" s="13" t="str">
        <x:v>Southwestern ON</x:v>
      </x:c>
      <x:c r="F313" s="13" t="str">
        <x:v>Riley</x:v>
      </x:c>
      <x:c r="G313" s="13" t="n">
        <x:v>1</x:v>
      </x:c>
      <x:c r="H313" s="44" t="n">
        <x:v>87.5</x:v>
      </x:c>
      <x:c r="I313" s="38" t="n">
        <x:v>0.05</x:v>
      </x:c>
      <x:c r="J313" s="44" t="n">
        <x:v>83.12</x:v>
      </x:c>
      <x:c r="K313" s="13" t="str">
        <x:v>Completed</x:v>
      </x:c>
    </x:row>
    <x:row r="314">
      <x:c r="A314" s="13" t="str">
        <x:v>O0313</x:v>
      </x:c>
      <x:c r="B314" s="36" t="n">
        <x:v>46178</x:v>
      </x:c>
      <x:c r="C314" s="13" t="str">
        <x:v>C125</x:v>
      </x:c>
      <x:c r="D314" s="13" t="str">
        <x:v>P029</x:v>
      </x:c>
      <x:c r="E314" s="13" t="str">
        <x:v>Southwestern ON</x:v>
      </x:c>
      <x:c r="F314" s="13" t="str">
        <x:v>Taylor</x:v>
      </x:c>
      <x:c r="G314" s="13" t="n">
        <x:v>1</x:v>
      </x:c>
      <x:c r="H314" s="44" t="n">
        <x:v>15.29</x:v>
      </x:c>
      <x:c r="I314" s="38" t="n">
        <x:v>0.05</x:v>
      </x:c>
      <x:c r="J314" s="44" t="n">
        <x:v>14.53</x:v>
      </x:c>
      <x:c r="K314" s="13" t="str">
        <x:v>Pending</x:v>
      </x:c>
    </x:row>
    <x:row r="315">
      <x:c r="A315" s="13" t="str">
        <x:v>O0314</x:v>
      </x:c>
      <x:c r="B315" s="36" t="n">
        <x:v>46123</x:v>
      </x:c>
      <x:c r="C315" s="13" t="str">
        <x:v>C110</x:v>
      </x:c>
      <x:c r="D315" s="13" t="str">
        <x:v>P038</x:v>
      </x:c>
      <x:c r="E315" s="13" t="str">
        <x:v>Toronto</x:v>
      </x:c>
      <x:c r="F315" s="13" t="str">
        <x:v>Taylor</x:v>
      </x:c>
      <x:c r="G315" s="13" t="n">
        <x:v>10</x:v>
      </x:c>
      <x:c r="H315" s="44" t="n">
        <x:v>30.26</x:v>
      </x:c>
      <x:c r="I315" s="38" t="n">
        <x:v>0</x:v>
      </x:c>
      <x:c r="J315" s="44" t="n">
        <x:v>302.6</x:v>
      </x:c>
      <x:c r="K315" s="13" t="str">
        <x:v>Cancelled</x:v>
      </x:c>
    </x:row>
    <x:row r="316">
      <x:c r="A316" s="13" t="str">
        <x:v>O0315</x:v>
      </x:c>
      <x:c r="B316" s="36" t="n">
        <x:v>46211</x:v>
      </x:c>
      <x:c r="C316" s="13" t="str">
        <x:v>C091</x:v>
      </x:c>
      <x:c r="D316" s="13" t="str">
        <x:v>P017</x:v>
      </x:c>
      <x:c r="E316" s="13" t="str">
        <x:v>GTA West</x:v>
      </x:c>
      <x:c r="F316" s="13" t="str">
        <x:v>Casey</x:v>
      </x:c>
      <x:c r="G316" s="13" t="n">
        <x:v>6</x:v>
      </x:c>
      <x:c r="H316" s="44" t="n">
        <x:v>10.74</x:v>
      </x:c>
      <x:c r="I316" s="38" t="n">
        <x:v>0.05</x:v>
      </x:c>
      <x:c r="J316" s="44" t="n">
        <x:v>61.22</x:v>
      </x:c>
      <x:c r="K316" s="13" t="str">
        <x:v>Completed</x:v>
      </x:c>
    </x:row>
    <x:row r="317">
      <x:c r="A317" s="13" t="str">
        <x:v>O0316</x:v>
      </x:c>
      <x:c r="B317" s="36" t="n">
        <x:v>46198</x:v>
      </x:c>
      <x:c r="C317" s="13" t="str">
        <x:v>C111</x:v>
      </x:c>
      <x:c r="D317" s="13" t="str">
        <x:v>P003</x:v>
      </x:c>
      <x:c r="E317" s="13" t="str">
        <x:v>Western Canada</x:v>
      </x:c>
      <x:c r="F317" s="13" t="str">
        <x:v>Taylor</x:v>
      </x:c>
      <x:c r="G317" s="13" t="n">
        <x:v>12</x:v>
      </x:c>
      <x:c r="H317" s="44" t="n">
        <x:v>29.94</x:v>
      </x:c>
      <x:c r="I317" s="38" t="n">
        <x:v>0</x:v>
      </x:c>
      <x:c r="J317" s="44" t="n">
        <x:v>359.28</x:v>
      </x:c>
      <x:c r="K317" s="13" t="str">
        <x:v>Completed</x:v>
      </x:c>
    </x:row>
    <x:row r="318">
      <x:c r="A318" s="13" t="str">
        <x:v>O0317</x:v>
      </x:c>
      <x:c r="B318" s="36" t="n">
        <x:v>46048</x:v>
      </x:c>
      <x:c r="C318" s="13" t="str">
        <x:v>C052</x:v>
      </x:c>
      <x:c r="D318" s="13" t="str">
        <x:v>P068</x:v>
      </x:c>
      <x:c r="E318" s="13" t="str">
        <x:v>Ottawa</x:v>
      </x:c>
      <x:c r="F318" s="13" t="str">
        <x:v>Riley</x:v>
      </x:c>
      <x:c r="G318" s="13" t="n">
        <x:v>6</x:v>
      </x:c>
      <x:c r="H318" s="44" t="n">
        <x:v>50.69</x:v>
      </x:c>
      <x:c r="I318" s="38" t="n">
        <x:v>0</x:v>
      </x:c>
      <x:c r="J318" s="44" t="n">
        <x:v>304.14</x:v>
      </x:c>
      <x:c r="K318" s="13" t="str">
        <x:v>Pending</x:v>
      </x:c>
    </x:row>
    <x:row r="319">
      <x:c r="A319" s="13" t="str">
        <x:v>O0318</x:v>
      </x:c>
      <x:c r="B319" s="36" t="n">
        <x:v>46207</x:v>
      </x:c>
      <x:c r="C319" s="13" t="str">
        <x:v>C130</x:v>
      </x:c>
      <x:c r="D319" s="13" t="str">
        <x:v>P021</x:v>
      </x:c>
      <x:c r="E319" s="13" t="str">
        <x:v>Ottawa</x:v>
      </x:c>
      <x:c r="F319" s="13" t="str">
        <x:v>Morgan</x:v>
      </x:c>
      <x:c r="G319" s="13" t="n">
        <x:v>1</x:v>
      </x:c>
      <x:c r="H319" s="44" t="n">
        <x:v>33.53</x:v>
      </x:c>
      <x:c r="I319" s="38" t="n">
        <x:v>0</x:v>
      </x:c>
      <x:c r="J319" s="44" t="n">
        <x:v>33.53</x:v>
      </x:c>
      <x:c r="K319" s="13" t="str">
        <x:v>Completed</x:v>
      </x:c>
    </x:row>
    <x:row r="320">
      <x:c r="A320" s="13" t="str">
        <x:v>O0319</x:v>
      </x:c>
      <x:c r="B320" s="36" t="n">
        <x:v>46119</x:v>
      </x:c>
      <x:c r="C320" s="13" t="str">
        <x:v>C137</x:v>
      </x:c>
      <x:c r="D320" s="13" t="str">
        <x:v>P042</x:v>
      </x:c>
      <x:c r="E320" s="13" t="str">
        <x:v>GTA West</x:v>
      </x:c>
      <x:c r="F320" s="13" t="str">
        <x:v>Avery</x:v>
      </x:c>
      <x:c r="G320" s="13" t="n">
        <x:v>9</x:v>
      </x:c>
      <x:c r="H320" s="44" t="n">
        <x:v>26.28</x:v>
      </x:c>
      <x:c r="I320" s="38" t="n">
        <x:v>0</x:v>
      </x:c>
      <x:c r="J320" s="44" t="n">
        <x:v>236.52</x:v>
      </x:c>
      <x:c r="K320" s="13" t="str">
        <x:v>Completed</x:v>
      </x:c>
    </x:row>
    <x:row r="321">
      <x:c r="A321" s="13" t="str">
        <x:v>O0320</x:v>
      </x:c>
      <x:c r="B321" s="36" t="n">
        <x:v>46051</x:v>
      </x:c>
      <x:c r="C321" s="13" t="str">
        <x:v>C097</x:v>
      </x:c>
      <x:c r="D321" s="13" t="str">
        <x:v>P047</x:v>
      </x:c>
      <x:c r="E321" s="13" t="str">
        <x:v>GTA West</x:v>
      </x:c>
      <x:c r="F321" s="13" t="str">
        <x:v>Jordan</x:v>
      </x:c>
      <x:c r="G321" s="13" t="n">
        <x:v>6</x:v>
      </x:c>
      <x:c r="H321" s="44" t="n">
        <x:v>30.55</x:v>
      </x:c>
      <x:c r="I321" s="38" t="n">
        <x:v>0</x:v>
      </x:c>
      <x:c r="J321" s="44" t="n">
        <x:v>183.3</x:v>
      </x:c>
      <x:c r="K321" s="13" t="str">
        <x:v>Pending</x:v>
      </x:c>
    </x:row>
    <x:row r="322">
      <x:c r="A322" s="13" t="str">
        <x:v>O0321</x:v>
      </x:c>
      <x:c r="B322" s="36" t="n">
        <x:v>46058</x:v>
      </x:c>
      <x:c r="C322" s="13" t="str">
        <x:v>C039</x:v>
      </x:c>
      <x:c r="D322" s="13" t="str">
        <x:v>P050</x:v>
      </x:c>
      <x:c r="E322" s="13" t="str">
        <x:v>GTA West</x:v>
      </x:c>
      <x:c r="F322" s="13" t="str">
        <x:v>Jordan</x:v>
      </x:c>
      <x:c r="G322" s="13" t="n">
        <x:v>11</x:v>
      </x:c>
      <x:c r="H322" s="44" t="n">
        <x:v>21.74</x:v>
      </x:c>
      <x:c r="I322" s="38" t="n">
        <x:v>0.1</x:v>
      </x:c>
      <x:c r="J322" s="44" t="n">
        <x:v>215.23</x:v>
      </x:c>
      <x:c r="K322" s="13" t="str">
        <x:v>Completed</x:v>
      </x:c>
    </x:row>
    <x:row r="323">
      <x:c r="A323" s="13" t="str">
        <x:v>O0322</x:v>
      </x:c>
      <x:c r="B323" s="36" t="n">
        <x:v>46158</x:v>
      </x:c>
      <x:c r="C323" s="13" t="str">
        <x:v>C098</x:v>
      </x:c>
      <x:c r="D323" s="13" t="str">
        <x:v>P068</x:v>
      </x:c>
      <x:c r="E323" s="13" t="str">
        <x:v>Ottawa</x:v>
      </x:c>
      <x:c r="F323" s="13" t="str">
        <x:v>Riley</x:v>
      </x:c>
      <x:c r="G323" s="13" t="n">
        <x:v>9</x:v>
      </x:c>
      <x:c r="H323" s="44" t="n">
        <x:v>50.69</x:v>
      </x:c>
      <x:c r="I323" s="38" t="n">
        <x:v>0</x:v>
      </x:c>
      <x:c r="J323" s="44" t="n">
        <x:v>456.21</x:v>
      </x:c>
      <x:c r="K323" s="13" t="str">
        <x:v>Completed</x:v>
      </x:c>
    </x:row>
    <x:row r="324">
      <x:c r="A324" s="13" t="str">
        <x:v>O0323</x:v>
      </x:c>
      <x:c r="B324" s="36" t="n">
        <x:v>46135</x:v>
      </x:c>
      <x:c r="C324" s="13" t="str">
        <x:v>C079</x:v>
      </x:c>
      <x:c r="D324" s="13" t="str">
        <x:v>P006</x:v>
      </x:c>
      <x:c r="E324" s="13" t="str">
        <x:v>Ottawa</x:v>
      </x:c>
      <x:c r="F324" s="13" t="str">
        <x:v>Avery</x:v>
      </x:c>
      <x:c r="G324" s="13" t="n">
        <x:v>2</x:v>
      </x:c>
      <x:c r="H324" s="44" t="n">
        <x:v>22.5</x:v>
      </x:c>
      <x:c r="I324" s="38" t="n">
        <x:v>0</x:v>
      </x:c>
      <x:c r="J324" s="44" t="n">
        <x:v>45</x:v>
      </x:c>
      <x:c r="K324" s="13" t="str">
        <x:v>Completed</x:v>
      </x:c>
    </x:row>
    <x:row r="325">
      <x:c r="A325" s="13" t="str">
        <x:v>O0324</x:v>
      </x:c>
      <x:c r="B325" s="36" t="n">
        <x:v>46031</x:v>
      </x:c>
      <x:c r="C325" s="13" t="str">
        <x:v>C127</x:v>
      </x:c>
      <x:c r="D325" s="13" t="str">
        <x:v>P049</x:v>
      </x:c>
      <x:c r="E325" s="13" t="str">
        <x:v>Toronto</x:v>
      </x:c>
      <x:c r="F325" s="13" t="str">
        <x:v>Casey</x:v>
      </x:c>
      <x:c r="G325" s="13" t="n">
        <x:v>9</x:v>
      </x:c>
      <x:c r="H325" s="44" t="n">
        <x:v>28.04</x:v>
      </x:c>
      <x:c r="I325" s="38" t="n">
        <x:v>0</x:v>
      </x:c>
      <x:c r="J325" s="44" t="n">
        <x:v>252.36</x:v>
      </x:c>
      <x:c r="K325" s="13" t="str">
        <x:v>Pending</x:v>
      </x:c>
    </x:row>
    <x:row r="326">
      <x:c r="A326" s="13" t="str">
        <x:v>O0325</x:v>
      </x:c>
      <x:c r="B326" s="36" t="n">
        <x:v>46256</x:v>
      </x:c>
      <x:c r="C326" s="13" t="str">
        <x:v>C104</x:v>
      </x:c>
      <x:c r="D326" s="13" t="str">
        <x:v>P030</x:v>
      </x:c>
      <x:c r="E326" s="13" t="str">
        <x:v>GTA West</x:v>
      </x:c>
      <x:c r="F326" s="13" t="str">
        <x:v>Morgan</x:v>
      </x:c>
      <x:c r="G326" s="13" t="n">
        <x:v>6</x:v>
      </x:c>
      <x:c r="H326" s="44" t="n">
        <x:v>10.76</x:v>
      </x:c>
      <x:c r="I326" s="38" t="n">
        <x:v>0</x:v>
      </x:c>
      <x:c r="J326" s="44" t="n">
        <x:v>64.56</x:v>
      </x:c>
      <x:c r="K326" s="13" t="str">
        <x:v>Pending</x:v>
      </x:c>
    </x:row>
    <x:row r="327">
      <x:c r="A327" s="13" t="str">
        <x:v>O0326</x:v>
      </x:c>
      <x:c r="B327" s="36" t="n">
        <x:v>46228</x:v>
      </x:c>
      <x:c r="C327" s="13" t="str">
        <x:v>C091</x:v>
      </x:c>
      <x:c r="D327" s="13" t="str">
        <x:v>P056</x:v>
      </x:c>
      <x:c r="E327" s="13" t="str">
        <x:v>Toronto</x:v>
      </x:c>
      <x:c r="F327" s="13" t="str">
        <x:v>Jordan</x:v>
      </x:c>
      <x:c r="G327" s="13" t="n">
        <x:v>12</x:v>
      </x:c>
      <x:c r="H327" s="44" t="n">
        <x:v>20.02</x:v>
      </x:c>
      <x:c r="I327" s="38" t="n">
        <x:v>0</x:v>
      </x:c>
      <x:c r="J327" s="44" t="n">
        <x:v>240.24</x:v>
      </x:c>
      <x:c r="K327" s="13" t="str">
        <x:v>Completed</x:v>
      </x:c>
    </x:row>
    <x:row r="328">
      <x:c r="A328" s="13" t="str">
        <x:v>O0327</x:v>
      </x:c>
      <x:c r="B328" s="36" t="n">
        <x:v>46043</x:v>
      </x:c>
      <x:c r="C328" s="13" t="str">
        <x:v>C071</x:v>
      </x:c>
      <x:c r="D328" s="13" t="str">
        <x:v>P047</x:v>
      </x:c>
      <x:c r="E328" s="13" t="str">
        <x:v>GTA West</x:v>
      </x:c>
      <x:c r="F328" s="13" t="str">
        <x:v>Riley</x:v>
      </x:c>
      <x:c r="G328" s="13" t="n">
        <x:v>1</x:v>
      </x:c>
      <x:c r="H328" s="44" t="n">
        <x:v>30.55</x:v>
      </x:c>
      <x:c r="I328" s="38" t="n">
        <x:v>0</x:v>
      </x:c>
      <x:c r="J328" s="44" t="n">
        <x:v>30.55</x:v>
      </x:c>
      <x:c r="K328" s="13" t="str">
        <x:v>Completed</x:v>
      </x:c>
    </x:row>
    <x:row r="329">
      <x:c r="A329" s="13" t="str">
        <x:v>O0328</x:v>
      </x:c>
      <x:c r="B329" s="36" t="n">
        <x:v>46169</x:v>
      </x:c>
      <x:c r="C329" s="13" t="str">
        <x:v>C121</x:v>
      </x:c>
      <x:c r="D329" s="13" t="str">
        <x:v>P063</x:v>
      </x:c>
      <x:c r="E329" s="13" t="str">
        <x:v>Ottawa</x:v>
      </x:c>
      <x:c r="F329" s="13" t="str">
        <x:v>Jordan</x:v>
      </x:c>
      <x:c r="G329" s="13" t="n">
        <x:v>9</x:v>
      </x:c>
      <x:c r="H329" s="44" t="n">
        <x:v>85.92</x:v>
      </x:c>
      <x:c r="I329" s="38" t="n">
        <x:v>0</x:v>
      </x:c>
      <x:c r="J329" s="44" t="n">
        <x:v>773.28</x:v>
      </x:c>
      <x:c r="K329" s="13" t="str">
        <x:v>Completed</x:v>
      </x:c>
    </x:row>
    <x:row r="330">
      <x:c r="A330" s="13" t="str">
        <x:v>O0329</x:v>
      </x:c>
      <x:c r="B330" s="36" t="n">
        <x:v>46094</x:v>
      </x:c>
      <x:c r="C330" s="13" t="str">
        <x:v>C114</x:v>
      </x:c>
      <x:c r="D330" s="13" t="str">
        <x:v>P043</x:v>
      </x:c>
      <x:c r="E330" s="13" t="str">
        <x:v>Toronto</x:v>
      </x:c>
      <x:c r="F330" s="13" t="str">
        <x:v>Casey</x:v>
      </x:c>
      <x:c r="G330" s="13" t="n">
        <x:v>2</x:v>
      </x:c>
      <x:c r="H330" s="44" t="n">
        <x:v>38.14</x:v>
      </x:c>
      <x:c r="I330" s="38" t="n">
        <x:v>0</x:v>
      </x:c>
      <x:c r="J330" s="44" t="n">
        <x:v>76.28</x:v>
      </x:c>
      <x:c r="K330" s="13" t="str">
        <x:v>Pending</x:v>
      </x:c>
    </x:row>
    <x:row r="331">
      <x:c r="A331" s="13" t="str">
        <x:v>O0330</x:v>
      </x:c>
      <x:c r="B331" s="36" t="n">
        <x:v>46042</x:v>
      </x:c>
      <x:c r="C331" s="13" t="str">
        <x:v>C140</x:v>
      </x:c>
      <x:c r="D331" s="13" t="str">
        <x:v>P037</x:v>
      </x:c>
      <x:c r="E331" s="13" t="str">
        <x:v>Western Canada</x:v>
      </x:c>
      <x:c r="F331" s="13" t="str">
        <x:v>Avery</x:v>
      </x:c>
      <x:c r="G331" s="13" t="n">
        <x:v>11</x:v>
      </x:c>
      <x:c r="H331" s="44" t="n">
        <x:v>36.84</x:v>
      </x:c>
      <x:c r="I331" s="38" t="n">
        <x:v>0.15</x:v>
      </x:c>
      <x:c r="J331" s="44" t="n">
        <x:v>344.45</x:v>
      </x:c>
      <x:c r="K331" s="13" t="str">
        <x:v>Completed</x:v>
      </x:c>
    </x:row>
    <x:row r="332">
      <x:c r="A332" s="13" t="str">
        <x:v>O0331</x:v>
      </x:c>
      <x:c r="B332" s="36" t="n">
        <x:v>46149</x:v>
      </x:c>
      <x:c r="C332" s="13" t="str">
        <x:v>C006</x:v>
      </x:c>
      <x:c r="D332" s="13" t="str">
        <x:v>P047</x:v>
      </x:c>
      <x:c r="E332" s="13" t="str">
        <x:v>Ottawa</x:v>
      </x:c>
      <x:c r="F332" s="13" t="str">
        <x:v>Avery</x:v>
      </x:c>
      <x:c r="G332" s="13" t="n">
        <x:v>5</x:v>
      </x:c>
      <x:c r="H332" s="44" t="n">
        <x:v>30.55</x:v>
      </x:c>
      <x:c r="I332" s="38" t="n">
        <x:v>0.15</x:v>
      </x:c>
      <x:c r="J332" s="44" t="n">
        <x:v>129.84</x:v>
      </x:c>
      <x:c r="K332" s="13" t="str">
        <x:v>Cancelled</x:v>
      </x:c>
    </x:row>
    <x:row r="333">
      <x:c r="A333" s="13" t="str">
        <x:v>O0332</x:v>
      </x:c>
      <x:c r="B333" s="36" t="n">
        <x:v>46198</x:v>
      </x:c>
      <x:c r="C333" s="13" t="str">
        <x:v>C084</x:v>
      </x:c>
      <x:c r="D333" s="13" t="str">
        <x:v>P008</x:v>
      </x:c>
      <x:c r="E333" s="13" t="str">
        <x:v>GTA West</x:v>
      </x:c>
      <x:c r="F333" s="13" t="str">
        <x:v>Casey</x:v>
      </x:c>
      <x:c r="G333" s="13" t="n">
        <x:v>12</x:v>
      </x:c>
      <x:c r="H333" s="44" t="n">
        <x:v>24.86</x:v>
      </x:c>
      <x:c r="I333" s="38" t="n">
        <x:v>0.05</x:v>
      </x:c>
      <x:c r="J333" s="44" t="n">
        <x:v>283.4</x:v>
      </x:c>
      <x:c r="K333" s="13" t="str">
        <x:v>Cancelled</x:v>
      </x:c>
    </x:row>
    <x:row r="334">
      <x:c r="A334" s="13" t="str">
        <x:v>O0333</x:v>
      </x:c>
      <x:c r="B334" s="36" t="n">
        <x:v>46247</x:v>
      </x:c>
      <x:c r="C334" s="13" t="str">
        <x:v>C038</x:v>
      </x:c>
      <x:c r="D334" s="13" t="str">
        <x:v>P033</x:v>
      </x:c>
      <x:c r="E334" s="13" t="str">
        <x:v>Southwestern ON</x:v>
      </x:c>
      <x:c r="F334" s="13" t="str">
        <x:v>Morgan</x:v>
      </x:c>
      <x:c r="G334" s="13" t="n">
        <x:v>4</x:v>
      </x:c>
      <x:c r="H334" s="44" t="n">
        <x:v>18.86</x:v>
      </x:c>
      <x:c r="I334" s="38" t="n">
        <x:v>0</x:v>
      </x:c>
      <x:c r="J334" s="44" t="n">
        <x:v>75.44</x:v>
      </x:c>
      <x:c r="K334" s="13" t="str">
        <x:v>Completed</x:v>
      </x:c>
    </x:row>
    <x:row r="335">
      <x:c r="A335" s="13" t="str">
        <x:v>O0334</x:v>
      </x:c>
      <x:c r="B335" s="36" t="n">
        <x:v>46263</x:v>
      </x:c>
      <x:c r="C335" s="13" t="str">
        <x:v>C093</x:v>
      </x:c>
      <x:c r="D335" s="13" t="str">
        <x:v>P037</x:v>
      </x:c>
      <x:c r="E335" s="13" t="str">
        <x:v>Southwestern ON</x:v>
      </x:c>
      <x:c r="F335" s="13" t="str">
        <x:v>Taylor</x:v>
      </x:c>
      <x:c r="G335" s="13" t="n">
        <x:v>2</x:v>
      </x:c>
      <x:c r="H335" s="44" t="n">
        <x:v>36.84</x:v>
      </x:c>
      <x:c r="I335" s="38" t="n">
        <x:v>0.05</x:v>
      </x:c>
      <x:c r="J335" s="44" t="n">
        <x:v>70</x:v>
      </x:c>
      <x:c r="K335" s="13" t="str">
        <x:v>Completed</x:v>
      </x:c>
    </x:row>
    <x:row r="336">
      <x:c r="A336" s="13" t="str">
        <x:v>O0335</x:v>
      </x:c>
      <x:c r="B336" s="36" t="n">
        <x:v>46141</x:v>
      </x:c>
      <x:c r="C336" s="13" t="str">
        <x:v>C122</x:v>
      </x:c>
      <x:c r="D336" s="13" t="str">
        <x:v>P012</x:v>
      </x:c>
      <x:c r="E336" s="13" t="str">
        <x:v>Southwestern ON</x:v>
      </x:c>
      <x:c r="F336" s="13" t="str">
        <x:v>Morgan</x:v>
      </x:c>
      <x:c r="G336" s="13" t="n">
        <x:v>9</x:v>
      </x:c>
      <x:c r="H336" s="44" t="n">
        <x:v>21.04</x:v>
      </x:c>
      <x:c r="I336" s="38" t="n">
        <x:v>0</x:v>
      </x:c>
      <x:c r="J336" s="44" t="n">
        <x:v>189.36</x:v>
      </x:c>
      <x:c r="K336" s="13" t="str">
        <x:v>Completed</x:v>
      </x:c>
    </x:row>
    <x:row r="337">
      <x:c r="A337" s="13" t="str">
        <x:v>O0336</x:v>
      </x:c>
      <x:c r="B337" s="36" t="n">
        <x:v>46201</x:v>
      </x:c>
      <x:c r="C337" s="13" t="str">
        <x:v>C025</x:v>
      </x:c>
      <x:c r="D337" s="13" t="str">
        <x:v>P054</x:v>
      </x:c>
      <x:c r="E337" s="13" t="str">
        <x:v>GTA West</x:v>
      </x:c>
      <x:c r="F337" s="13" t="str">
        <x:v>Casey</x:v>
      </x:c>
      <x:c r="G337" s="13" t="n">
        <x:v>8</x:v>
      </x:c>
      <x:c r="H337" s="44" t="n">
        <x:v>34.36</x:v>
      </x:c>
      <x:c r="I337" s="38" t="n">
        <x:v>0.05</x:v>
      </x:c>
      <x:c r="J337" s="44" t="n">
        <x:v>261.14</x:v>
      </x:c>
      <x:c r="K337" s="13" t="str">
        <x:v>Completed</x:v>
      </x:c>
    </x:row>
    <x:row r="338">
      <x:c r="A338" s="13" t="str">
        <x:v>O0337</x:v>
      </x:c>
      <x:c r="B338" s="36" t="n">
        <x:v>46210</x:v>
      </x:c>
      <x:c r="C338" s="13" t="str">
        <x:v>C047</x:v>
      </x:c>
      <x:c r="D338" s="13" t="str">
        <x:v>P028</x:v>
      </x:c>
      <x:c r="E338" s="13" t="str">
        <x:v>Ottawa</x:v>
      </x:c>
      <x:c r="F338" s="13" t="str">
        <x:v>Casey</x:v>
      </x:c>
      <x:c r="G338" s="13" t="n">
        <x:v>4</x:v>
      </x:c>
      <x:c r="H338" s="44" t="n">
        <x:v>27.55</x:v>
      </x:c>
      <x:c r="I338" s="38" t="n">
        <x:v>0</x:v>
      </x:c>
      <x:c r="J338" s="44" t="n">
        <x:v>110.2</x:v>
      </x:c>
      <x:c r="K338" s="13" t="str">
        <x:v>Completed</x:v>
      </x:c>
    </x:row>
    <x:row r="339">
      <x:c r="A339" s="13" t="str">
        <x:v>O0338</x:v>
      </x:c>
      <x:c r="B339" s="36" t="n">
        <x:v>46064</x:v>
      </x:c>
      <x:c r="C339" s="13" t="str">
        <x:v>C045</x:v>
      </x:c>
      <x:c r="D339" s="13" t="str">
        <x:v>P006</x:v>
      </x:c>
      <x:c r="E339" s="13" t="str">
        <x:v>Southwestern ON</x:v>
      </x:c>
      <x:c r="F339" s="13" t="str">
        <x:v>Avery</x:v>
      </x:c>
      <x:c r="G339" s="13" t="n">
        <x:v>1</x:v>
      </x:c>
      <x:c r="H339" s="44" t="n">
        <x:v>22.5</x:v>
      </x:c>
      <x:c r="I339" s="38" t="n">
        <x:v>0.15</x:v>
      </x:c>
      <x:c r="J339" s="44" t="n">
        <x:v>19.12</x:v>
      </x:c>
      <x:c r="K339" s="13" t="str">
        <x:v>Completed</x:v>
      </x:c>
    </x:row>
    <x:row r="340">
      <x:c r="A340" s="13" t="str">
        <x:v>O0339</x:v>
      </x:c>
      <x:c r="B340" s="36" t="n">
        <x:v>46076</x:v>
      </x:c>
      <x:c r="C340" s="13" t="str">
        <x:v>C134</x:v>
      </x:c>
      <x:c r="D340" s="13" t="str">
        <x:v>P044</x:v>
      </x:c>
      <x:c r="E340" s="13" t="str">
        <x:v>Southwestern ON</x:v>
      </x:c>
      <x:c r="F340" s="13" t="str">
        <x:v>Jordan</x:v>
      </x:c>
      <x:c r="G340" s="13" t="n">
        <x:v>2</x:v>
      </x:c>
      <x:c r="H340" s="44" t="n">
        <x:v>24.3</x:v>
      </x:c>
      <x:c r="I340" s="38" t="n">
        <x:v>0.1</x:v>
      </x:c>
      <x:c r="J340" s="44" t="n">
        <x:v>43.74</x:v>
      </x:c>
      <x:c r="K340" s="13" t="str">
        <x:v>Pending</x:v>
      </x:c>
    </x:row>
    <x:row r="341">
      <x:c r="A341" s="13" t="str">
        <x:v>O0340</x:v>
      </x:c>
      <x:c r="B341" s="36" t="n">
        <x:v>46068</x:v>
      </x:c>
      <x:c r="C341" s="13" t="str">
        <x:v>C028</x:v>
      </x:c>
      <x:c r="D341" s="13" t="str">
        <x:v>P013</x:v>
      </x:c>
      <x:c r="E341" s="13" t="str">
        <x:v>GTA West</x:v>
      </x:c>
      <x:c r="F341" s="13" t="str">
        <x:v>Taylor</x:v>
      </x:c>
      <x:c r="G341" s="13" t="n">
        <x:v>4</x:v>
      </x:c>
      <x:c r="H341" s="44" t="n">
        <x:v>12.07</x:v>
      </x:c>
      <x:c r="I341" s="38" t="n">
        <x:v>0.1</x:v>
      </x:c>
      <x:c r="J341" s="44" t="n">
        <x:v>43.45</x:v>
      </x:c>
      <x:c r="K341" s="13" t="str">
        <x:v>Completed</x:v>
      </x:c>
    </x:row>
    <x:row r="342">
      <x:c r="A342" s="13" t="str">
        <x:v>O0341</x:v>
      </x:c>
      <x:c r="B342" s="36" t="n">
        <x:v>46207</x:v>
      </x:c>
      <x:c r="C342" s="13" t="str">
        <x:v>C125</x:v>
      </x:c>
      <x:c r="D342" s="13" t="str">
        <x:v>P059</x:v>
      </x:c>
      <x:c r="E342" s="13" t="str">
        <x:v>GTA West</x:v>
      </x:c>
      <x:c r="F342" s="13" t="str">
        <x:v>Riley</x:v>
      </x:c>
      <x:c r="G342" s="13" t="n">
        <x:v>11</x:v>
      </x:c>
      <x:c r="H342" s="44" t="n">
        <x:v>25.22</x:v>
      </x:c>
      <x:c r="I342" s="38" t="n">
        <x:v>0</x:v>
      </x:c>
      <x:c r="J342" s="44" t="n">
        <x:v>277.42</x:v>
      </x:c>
      <x:c r="K342" s="13" t="str">
        <x:v>Pending</x:v>
      </x:c>
    </x:row>
    <x:row r="343">
      <x:c r="A343" s="13" t="str">
        <x:v>O0342</x:v>
      </x:c>
      <x:c r="B343" s="36" t="n">
        <x:v>46085</x:v>
      </x:c>
      <x:c r="C343" s="13" t="str">
        <x:v>C140</x:v>
      </x:c>
      <x:c r="D343" s="13" t="str">
        <x:v>P037</x:v>
      </x:c>
      <x:c r="E343" s="13" t="str">
        <x:v>Toronto</x:v>
      </x:c>
      <x:c r="F343" s="13" t="str">
        <x:v>Avery</x:v>
      </x:c>
      <x:c r="G343" s="13" t="n">
        <x:v>5</x:v>
      </x:c>
      <x:c r="H343" s="44" t="n">
        <x:v>36.84</x:v>
      </x:c>
      <x:c r="I343" s="38" t="n">
        <x:v>0.1</x:v>
      </x:c>
      <x:c r="J343" s="44" t="n">
        <x:v>165.78</x:v>
      </x:c>
      <x:c r="K343" s="13" t="str">
        <x:v>Completed</x:v>
      </x:c>
    </x:row>
    <x:row r="344">
      <x:c r="A344" s="13" t="str">
        <x:v>O0343</x:v>
      </x:c>
      <x:c r="B344" s="36" t="n">
        <x:v>46052</x:v>
      </x:c>
      <x:c r="C344" s="13" t="str">
        <x:v>C001</x:v>
      </x:c>
      <x:c r="D344" s="13" t="str">
        <x:v>P046</x:v>
      </x:c>
      <x:c r="E344" s="13" t="str">
        <x:v>Southwestern ON</x:v>
      </x:c>
      <x:c r="F344" s="13" t="str">
        <x:v>Taylor</x:v>
      </x:c>
      <x:c r="G344" s="13" t="n">
        <x:v>3</x:v>
      </x:c>
      <x:c r="H344" s="44" t="n">
        <x:v>15.24</x:v>
      </x:c>
      <x:c r="I344" s="38" t="n">
        <x:v>0</x:v>
      </x:c>
      <x:c r="J344" s="44" t="n">
        <x:v>45.72</x:v>
      </x:c>
      <x:c r="K344" s="13" t="str">
        <x:v>Completed</x:v>
      </x:c>
    </x:row>
    <x:row r="345">
      <x:c r="A345" s="13" t="str">
        <x:v>O0344</x:v>
      </x:c>
      <x:c r="B345" s="36" t="n">
        <x:v>46101</x:v>
      </x:c>
      <x:c r="C345" s="13" t="str">
        <x:v>C076</x:v>
      </x:c>
      <x:c r="D345" s="13" t="str">
        <x:v>P014</x:v>
      </x:c>
      <x:c r="E345" s="13" t="str">
        <x:v>GTA West</x:v>
      </x:c>
      <x:c r="F345" s="13" t="str">
        <x:v>Jordan</x:v>
      </x:c>
      <x:c r="G345" s="13" t="n">
        <x:v>11</x:v>
      </x:c>
      <x:c r="H345" s="44" t="n">
        <x:v>21.79</x:v>
      </x:c>
      <x:c r="I345" s="38" t="n">
        <x:v>0.15</x:v>
      </x:c>
      <x:c r="J345" s="44" t="n">
        <x:v>203.74</x:v>
      </x:c>
      <x:c r="K345" s="13" t="str">
        <x:v>Completed</x:v>
      </x:c>
    </x:row>
    <x:row r="346">
      <x:c r="A346" s="13" t="str">
        <x:v>O0345</x:v>
      </x:c>
      <x:c r="B346" s="36" t="n">
        <x:v>46210</x:v>
      </x:c>
      <x:c r="C346" s="13" t="str">
        <x:v>C044</x:v>
      </x:c>
      <x:c r="D346" s="13" t="str">
        <x:v>P071</x:v>
      </x:c>
      <x:c r="E346" s="13" t="str">
        <x:v>Western Canada</x:v>
      </x:c>
      <x:c r="F346" s="13" t="str">
        <x:v>Avery</x:v>
      </x:c>
      <x:c r="G346" s="13" t="n">
        <x:v>8</x:v>
      </x:c>
      <x:c r="H346" s="44" t="n">
        <x:v>66.69</x:v>
      </x:c>
      <x:c r="I346" s="38" t="n">
        <x:v>0.15</x:v>
      </x:c>
      <x:c r="J346" s="44" t="n">
        <x:v>453.49</x:v>
      </x:c>
      <x:c r="K346" s="13" t="str">
        <x:v>Completed</x:v>
      </x:c>
    </x:row>
    <x:row r="347">
      <x:c r="A347" s="13" t="str">
        <x:v>O0346</x:v>
      </x:c>
      <x:c r="B347" s="36" t="n">
        <x:v>46189</x:v>
      </x:c>
      <x:c r="C347" s="13" t="str">
        <x:v>C037</x:v>
      </x:c>
      <x:c r="D347" s="13" t="str">
        <x:v>P009</x:v>
      </x:c>
      <x:c r="E347" s="13" t="str">
        <x:v>Southwestern ON</x:v>
      </x:c>
      <x:c r="F347" s="13" t="str">
        <x:v>Taylor</x:v>
      </x:c>
      <x:c r="G347" s="13" t="n">
        <x:v>8</x:v>
      </x:c>
      <x:c r="H347" s="44" t="n">
        <x:v>29.42</x:v>
      </x:c>
      <x:c r="I347" s="38" t="n">
        <x:v>0.15</x:v>
      </x:c>
      <x:c r="J347" s="44" t="n">
        <x:v>200.06</x:v>
      </x:c>
      <x:c r="K347" s="13" t="str">
        <x:v>Completed</x:v>
      </x:c>
    </x:row>
    <x:row r="348">
      <x:c r="A348" s="13" t="str">
        <x:v>O0347</x:v>
      </x:c>
      <x:c r="B348" s="36" t="n">
        <x:v>46048</x:v>
      </x:c>
      <x:c r="C348" s="13" t="str">
        <x:v>C107</x:v>
      </x:c>
      <x:c r="D348" s="13" t="str">
        <x:v>P064</x:v>
      </x:c>
      <x:c r="E348" s="13" t="str">
        <x:v>Western Canada</x:v>
      </x:c>
      <x:c r="F348" s="13" t="str">
        <x:v>Riley</x:v>
      </x:c>
      <x:c r="G348" s="13" t="n">
        <x:v>12</x:v>
      </x:c>
      <x:c r="H348" s="44" t="n">
        <x:v>36.07</x:v>
      </x:c>
      <x:c r="I348" s="38" t="n">
        <x:v>0.15</x:v>
      </x:c>
      <x:c r="J348" s="44" t="n">
        <x:v>367.91</x:v>
      </x:c>
      <x:c r="K348" s="13" t="str">
        <x:v>Completed</x:v>
      </x:c>
    </x:row>
    <x:row r="349">
      <x:c r="A349" s="13" t="str">
        <x:v>O0348</x:v>
      </x:c>
      <x:c r="B349" s="36" t="n">
        <x:v>46134</x:v>
      </x:c>
      <x:c r="C349" s="13" t="str">
        <x:v>C040</x:v>
      </x:c>
      <x:c r="D349" s="13" t="str">
        <x:v>P045</x:v>
      </x:c>
      <x:c r="E349" s="13" t="str">
        <x:v>Southwestern ON</x:v>
      </x:c>
      <x:c r="F349" s="13" t="str">
        <x:v>Jordan</x:v>
      </x:c>
      <x:c r="G349" s="13" t="n">
        <x:v>6</x:v>
      </x:c>
      <x:c r="H349" s="44" t="n">
        <x:v>13.92</x:v>
      </x:c>
      <x:c r="I349" s="38" t="n">
        <x:v>0</x:v>
      </x:c>
      <x:c r="J349" s="44" t="n">
        <x:v>83.52</x:v>
      </x:c>
      <x:c r="K349" s="13" t="str">
        <x:v>Pending</x:v>
      </x:c>
    </x:row>
    <x:row r="350">
      <x:c r="A350" s="13" t="str">
        <x:v>O0349</x:v>
      </x:c>
      <x:c r="B350" s="36" t="n">
        <x:v>46264</x:v>
      </x:c>
      <x:c r="C350" s="13" t="str">
        <x:v>C021</x:v>
      </x:c>
      <x:c r="D350" s="13" t="str">
        <x:v>P025</x:v>
      </x:c>
      <x:c r="E350" s="13" t="str">
        <x:v>Toronto</x:v>
      </x:c>
      <x:c r="F350" s="13" t="str">
        <x:v>Avery</x:v>
      </x:c>
      <x:c r="G350" s="13" t="n">
        <x:v>3</x:v>
      </x:c>
      <x:c r="H350" s="44" t="n">
        <x:v>23.27</x:v>
      </x:c>
      <x:c r="I350" s="38" t="n">
        <x:v>0.1</x:v>
      </x:c>
      <x:c r="J350" s="44" t="n">
        <x:v>62.83</x:v>
      </x:c>
      <x:c r="K350" s="13" t="str">
        <x:v>Completed</x:v>
      </x:c>
    </x:row>
    <x:row r="351">
      <x:c r="A351" s="13" t="str">
        <x:v>O0350</x:v>
      </x:c>
      <x:c r="B351" s="36" t="n">
        <x:v>46075</x:v>
      </x:c>
      <x:c r="C351" s="13" t="str">
        <x:v>C041</x:v>
      </x:c>
      <x:c r="D351" s="13" t="str">
        <x:v>P049</x:v>
      </x:c>
      <x:c r="E351" s="13" t="str">
        <x:v>Southwestern ON</x:v>
      </x:c>
      <x:c r="F351" s="13" t="str">
        <x:v>Avery</x:v>
      </x:c>
      <x:c r="G351" s="13" t="n">
        <x:v>7</x:v>
      </x:c>
      <x:c r="H351" s="44" t="n">
        <x:v>28.04</x:v>
      </x:c>
      <x:c r="I351" s="38" t="n">
        <x:v>0</x:v>
      </x:c>
      <x:c r="J351" s="44" t="n">
        <x:v>196.28</x:v>
      </x:c>
      <x:c r="K351" s="13" t="str">
        <x:v>Pending</x:v>
      </x:c>
    </x:row>
    <x:row r="352">
      <x:c r="A352" s="13" t="str">
        <x:v>O0351</x:v>
      </x:c>
      <x:c r="B352" s="36" t="n">
        <x:v>46235</x:v>
      </x:c>
      <x:c r="C352" s="13" t="str">
        <x:v>C122</x:v>
      </x:c>
      <x:c r="D352" s="13" t="str">
        <x:v>P074</x:v>
      </x:c>
      <x:c r="E352" s="13" t="str">
        <x:v>Southwestern ON</x:v>
      </x:c>
      <x:c r="F352" s="13" t="str">
        <x:v>Jordan</x:v>
      </x:c>
      <x:c r="G352" s="13" t="n">
        <x:v>8</x:v>
      </x:c>
      <x:c r="H352" s="44" t="n">
        <x:v>24.37</x:v>
      </x:c>
      <x:c r="I352" s="38" t="n">
        <x:v>0.15</x:v>
      </x:c>
      <x:c r="J352" s="44" t="n">
        <x:v>165.72</x:v>
      </x:c>
      <x:c r="K352" s="13" t="str">
        <x:v>Completed</x:v>
      </x:c>
    </x:row>
    <x:row r="353">
      <x:c r="A353" s="13" t="str">
        <x:v>O0352</x:v>
      </x:c>
      <x:c r="B353" s="36" t="n">
        <x:v>46118</x:v>
      </x:c>
      <x:c r="C353" s="13" t="str">
        <x:v>C099</x:v>
      </x:c>
      <x:c r="D353" s="13" t="str">
        <x:v>P032</x:v>
      </x:c>
      <x:c r="E353" s="13" t="str">
        <x:v>Toronto</x:v>
      </x:c>
      <x:c r="F353" s="13" t="str">
        <x:v>Riley</x:v>
      </x:c>
      <x:c r="G353" s="13" t="n">
        <x:v>7</x:v>
      </x:c>
      <x:c r="H353" s="44" t="n">
        <x:v>38.71</x:v>
      </x:c>
      <x:c r="I353" s="38" t="n">
        <x:v>0</x:v>
      </x:c>
      <x:c r="J353" s="44" t="n">
        <x:v>270.97</x:v>
      </x:c>
      <x:c r="K353" s="13" t="str">
        <x:v>Completed</x:v>
      </x:c>
    </x:row>
    <x:row r="354">
      <x:c r="A354" s="13" t="str">
        <x:v>O0353</x:v>
      </x:c>
      <x:c r="B354" s="36" t="n">
        <x:v>46230</x:v>
      </x:c>
      <x:c r="C354" s="13" t="str">
        <x:v>C075</x:v>
      </x:c>
      <x:c r="D354" s="13" t="str">
        <x:v>P019</x:v>
      </x:c>
      <x:c r="E354" s="13" t="str">
        <x:v>Western Canada</x:v>
      </x:c>
      <x:c r="F354" s="13" t="str">
        <x:v>Taylor</x:v>
      </x:c>
      <x:c r="G354" s="13" t="n">
        <x:v>5</x:v>
      </x:c>
      <x:c r="H354" s="44" t="n">
        <x:v>30.91</x:v>
      </x:c>
      <x:c r="I354" s="38" t="n">
        <x:v>0.1</x:v>
      </x:c>
      <x:c r="J354" s="44" t="n">
        <x:v>139.1</x:v>
      </x:c>
      <x:c r="K354" s="13" t="str">
        <x:v>Pending</x:v>
      </x:c>
    </x:row>
    <x:row r="355">
      <x:c r="A355" s="13" t="str">
        <x:v>O0354</x:v>
      </x:c>
      <x:c r="B355" s="36" t="n">
        <x:v>46152</x:v>
      </x:c>
      <x:c r="C355" s="13" t="str">
        <x:v>C051</x:v>
      </x:c>
      <x:c r="D355" s="13" t="str">
        <x:v>P019</x:v>
      </x:c>
      <x:c r="E355" s="13" t="str">
        <x:v>Southwestern ON</x:v>
      </x:c>
      <x:c r="F355" s="13" t="str">
        <x:v>Casey</x:v>
      </x:c>
      <x:c r="G355" s="13" t="n">
        <x:v>12</x:v>
      </x:c>
      <x:c r="H355" s="44" t="n">
        <x:v>30.91</x:v>
      </x:c>
      <x:c r="I355" s="38" t="n">
        <x:v>0</x:v>
      </x:c>
      <x:c r="J355" s="44" t="n">
        <x:v>370.92</x:v>
      </x:c>
      <x:c r="K355" s="13" t="str">
        <x:v>Completed</x:v>
      </x:c>
    </x:row>
    <x:row r="356">
      <x:c r="A356" s="13" t="str">
        <x:v>O0355</x:v>
      </x:c>
      <x:c r="B356" s="36" t="n">
        <x:v>46114</x:v>
      </x:c>
      <x:c r="C356" s="13" t="str">
        <x:v>C011</x:v>
      </x:c>
      <x:c r="D356" s="13" t="str">
        <x:v>P026</x:v>
      </x:c>
      <x:c r="E356" s="13" t="str">
        <x:v>Ottawa</x:v>
      </x:c>
      <x:c r="F356" s="13" t="str">
        <x:v>Morgan</x:v>
      </x:c>
      <x:c r="G356" s="13" t="n">
        <x:v>4</x:v>
      </x:c>
      <x:c r="H356" s="44" t="n">
        <x:v>22.79</x:v>
      </x:c>
      <x:c r="I356" s="38" t="n">
        <x:v>0.15</x:v>
      </x:c>
      <x:c r="J356" s="44" t="n">
        <x:v>77.49</x:v>
      </x:c>
      <x:c r="K356" s="13" t="str">
        <x:v>Completed</x:v>
      </x:c>
    </x:row>
    <x:row r="357">
      <x:c r="A357" s="13" t="str">
        <x:v>O0356</x:v>
      </x:c>
      <x:c r="B357" s="36" t="n">
        <x:v>46113</x:v>
      </x:c>
      <x:c r="C357" s="13" t="str">
        <x:v>C101</x:v>
      </x:c>
      <x:c r="D357" s="13" t="str">
        <x:v>P029</x:v>
      </x:c>
      <x:c r="E357" s="13" t="str">
        <x:v>GTA West</x:v>
      </x:c>
      <x:c r="F357" s="13" t="str">
        <x:v>Morgan</x:v>
      </x:c>
      <x:c r="G357" s="13" t="n">
        <x:v>12</x:v>
      </x:c>
      <x:c r="H357" s="44" t="n">
        <x:v>15.29</x:v>
      </x:c>
      <x:c r="I357" s="38" t="n">
        <x:v>0</x:v>
      </x:c>
      <x:c r="J357" s="44" t="n">
        <x:v>183.48</x:v>
      </x:c>
      <x:c r="K357" s="13" t="str">
        <x:v>Completed</x:v>
      </x:c>
    </x:row>
    <x:row r="358">
      <x:c r="A358" s="13" t="str">
        <x:v>O0357</x:v>
      </x:c>
      <x:c r="B358" s="36" t="n">
        <x:v>46091</x:v>
      </x:c>
      <x:c r="C358" s="13" t="str">
        <x:v>C037</x:v>
      </x:c>
      <x:c r="D358" s="13" t="str">
        <x:v>P002</x:v>
      </x:c>
      <x:c r="E358" s="13" t="str">
        <x:v>GTA West</x:v>
      </x:c>
      <x:c r="F358" s="13" t="str">
        <x:v>Taylor</x:v>
      </x:c>
      <x:c r="G358" s="13" t="n">
        <x:v>11</x:v>
      </x:c>
      <x:c r="H358" s="44" t="n">
        <x:v>32.04</x:v>
      </x:c>
      <x:c r="I358" s="38" t="n">
        <x:v>0</x:v>
      </x:c>
      <x:c r="J358" s="44" t="n">
        <x:v>352.44</x:v>
      </x:c>
      <x:c r="K358" s="13" t="str">
        <x:v>Completed</x:v>
      </x:c>
    </x:row>
    <x:row r="359">
      <x:c r="A359" s="13" t="str">
        <x:v>O0358</x:v>
      </x:c>
      <x:c r="B359" s="36" t="n">
        <x:v>46250</x:v>
      </x:c>
      <x:c r="C359" s="13" t="str">
        <x:v>C056</x:v>
      </x:c>
      <x:c r="D359" s="13" t="str">
        <x:v>P052</x:v>
      </x:c>
      <x:c r="E359" s="13" t="str">
        <x:v>GTA West</x:v>
      </x:c>
      <x:c r="F359" s="13" t="str">
        <x:v>Morgan</x:v>
      </x:c>
      <x:c r="G359" s="13" t="n">
        <x:v>10</x:v>
      </x:c>
      <x:c r="H359" s="44" t="n">
        <x:v>22.35</x:v>
      </x:c>
      <x:c r="I359" s="38" t="n">
        <x:v>0</x:v>
      </x:c>
      <x:c r="J359" s="44" t="n">
        <x:v>223.5</x:v>
      </x:c>
      <x:c r="K359" s="13" t="str">
        <x:v>Completed</x:v>
      </x:c>
    </x:row>
    <x:row r="360">
      <x:c r="A360" s="13" t="str">
        <x:v>O0359</x:v>
      </x:c>
      <x:c r="B360" s="36" t="n">
        <x:v>46067</x:v>
      </x:c>
      <x:c r="C360" s="13" t="str">
        <x:v>C075</x:v>
      </x:c>
      <x:c r="D360" s="13" t="str">
        <x:v>P047</x:v>
      </x:c>
      <x:c r="E360" s="13" t="str">
        <x:v>Southwestern ON</x:v>
      </x:c>
      <x:c r="F360" s="13" t="str">
        <x:v>Riley</x:v>
      </x:c>
      <x:c r="G360" s="13" t="n">
        <x:v>7</x:v>
      </x:c>
      <x:c r="H360" s="44" t="n">
        <x:v>30.55</x:v>
      </x:c>
      <x:c r="I360" s="38" t="n">
        <x:v>0</x:v>
      </x:c>
      <x:c r="J360" s="44" t="n">
        <x:v>213.85</x:v>
      </x:c>
      <x:c r="K360" s="13" t="str">
        <x:v>Completed</x:v>
      </x:c>
    </x:row>
    <x:row r="361">
      <x:c r="A361" s="13" t="str">
        <x:v>O0360</x:v>
      </x:c>
      <x:c r="B361" s="36" t="n">
        <x:v>46166</x:v>
      </x:c>
      <x:c r="C361" s="13" t="str">
        <x:v>C074</x:v>
      </x:c>
      <x:c r="D361" s="13" t="str">
        <x:v>P054</x:v>
      </x:c>
      <x:c r="E361" s="13" t="str">
        <x:v>Western Canada</x:v>
      </x:c>
      <x:c r="F361" s="13" t="str">
        <x:v>Morgan</x:v>
      </x:c>
      <x:c r="G361" s="13" t="n">
        <x:v>1</x:v>
      </x:c>
      <x:c r="H361" s="44" t="n">
        <x:v>34.36</x:v>
      </x:c>
      <x:c r="I361" s="38" t="n">
        <x:v>0</x:v>
      </x:c>
      <x:c r="J361" s="44" t="n">
        <x:v>34.36</x:v>
      </x:c>
      <x:c r="K361" s="13" t="str">
        <x:v>Completed</x:v>
      </x:c>
    </x:row>
    <x:row r="362">
      <x:c r="A362" s="13" t="str">
        <x:v>O0361</x:v>
      </x:c>
      <x:c r="B362" s="36" t="n">
        <x:v>46229</x:v>
      </x:c>
      <x:c r="C362" s="13" t="str">
        <x:v>C057</x:v>
      </x:c>
      <x:c r="D362" s="13" t="str">
        <x:v>P043</x:v>
      </x:c>
      <x:c r="E362" s="13" t="str">
        <x:v>GTA West</x:v>
      </x:c>
      <x:c r="F362" s="13" t="str">
        <x:v>Riley</x:v>
      </x:c>
      <x:c r="G362" s="13" t="n">
        <x:v>7</x:v>
      </x:c>
      <x:c r="H362" s="44" t="n">
        <x:v>38.14</x:v>
      </x:c>
      <x:c r="I362" s="38" t="n">
        <x:v>0</x:v>
      </x:c>
      <x:c r="J362" s="44" t="n">
        <x:v>266.98</x:v>
      </x:c>
      <x:c r="K362" s="13" t="str">
        <x:v>Completed</x:v>
      </x:c>
    </x:row>
    <x:row r="363">
      <x:c r="A363" s="13" t="str">
        <x:v>O0362</x:v>
      </x:c>
      <x:c r="B363" s="36" t="n">
        <x:v>46239</x:v>
      </x:c>
      <x:c r="C363" s="13" t="str">
        <x:v>C034</x:v>
      </x:c>
      <x:c r="D363" s="13" t="str">
        <x:v>P045</x:v>
      </x:c>
      <x:c r="E363" s="13" t="str">
        <x:v>GTA West</x:v>
      </x:c>
      <x:c r="F363" s="13" t="str">
        <x:v>Taylor</x:v>
      </x:c>
      <x:c r="G363" s="13" t="n">
        <x:v>10</x:v>
      </x:c>
      <x:c r="H363" s="44" t="n">
        <x:v>13.92</x:v>
      </x:c>
      <x:c r="I363" s="38" t="n">
        <x:v>0</x:v>
      </x:c>
      <x:c r="J363" s="44" t="n">
        <x:v>139.2</x:v>
      </x:c>
      <x:c r="K363" s="13" t="str">
        <x:v>Completed</x:v>
      </x:c>
    </x:row>
    <x:row r="364">
      <x:c r="A364" s="13" t="str">
        <x:v>O0363</x:v>
      </x:c>
      <x:c r="B364" s="36" t="n">
        <x:v>46099</x:v>
      </x:c>
      <x:c r="C364" s="13" t="str">
        <x:v>C047</x:v>
      </x:c>
      <x:c r="D364" s="13" t="str">
        <x:v>P007</x:v>
      </x:c>
      <x:c r="E364" s="13" t="str">
        <x:v>Ottawa</x:v>
      </x:c>
      <x:c r="F364" s="13" t="str">
        <x:v>Jordan</x:v>
      </x:c>
      <x:c r="G364" s="13" t="n">
        <x:v>11</x:v>
      </x:c>
      <x:c r="H364" s="44" t="n">
        <x:v>31.23</x:v>
      </x:c>
      <x:c r="I364" s="38" t="n">
        <x:v>0.1</x:v>
      </x:c>
      <x:c r="J364" s="44" t="n">
        <x:v>309.18</x:v>
      </x:c>
      <x:c r="K364" s="13" t="str">
        <x:v>Completed</x:v>
      </x:c>
    </x:row>
    <x:row r="365">
      <x:c r="A365" s="13" t="str">
        <x:v>O0364</x:v>
      </x:c>
      <x:c r="B365" s="36" t="n">
        <x:v>46213</x:v>
      </x:c>
      <x:c r="C365" s="13" t="str">
        <x:v>C020</x:v>
      </x:c>
      <x:c r="D365" s="13" t="str">
        <x:v>P054</x:v>
      </x:c>
      <x:c r="E365" s="13" t="str">
        <x:v>Ottawa</x:v>
      </x:c>
      <x:c r="F365" s="13" t="str">
        <x:v>Taylor</x:v>
      </x:c>
      <x:c r="G365" s="13" t="n">
        <x:v>4</x:v>
      </x:c>
      <x:c r="H365" s="44" t="n">
        <x:v>34.36</x:v>
      </x:c>
      <x:c r="I365" s="38" t="n">
        <x:v>0.05</x:v>
      </x:c>
      <x:c r="J365" s="44" t="n">
        <x:v>130.57</x:v>
      </x:c>
      <x:c r="K365" s="13" t="str">
        <x:v>Completed</x:v>
      </x:c>
    </x:row>
    <x:row r="366">
      <x:c r="A366" s="13" t="str">
        <x:v>O0365</x:v>
      </x:c>
      <x:c r="B366" s="36" t="n">
        <x:v>46114</x:v>
      </x:c>
      <x:c r="C366" s="13" t="str">
        <x:v>C060</x:v>
      </x:c>
      <x:c r="D366" s="13" t="str">
        <x:v>P044</x:v>
      </x:c>
      <x:c r="E366" s="13" t="str">
        <x:v>GTA West</x:v>
      </x:c>
      <x:c r="F366" s="13" t="str">
        <x:v>Taylor</x:v>
      </x:c>
      <x:c r="G366" s="13" t="n">
        <x:v>8</x:v>
      </x:c>
      <x:c r="H366" s="44" t="n">
        <x:v>24.3</x:v>
      </x:c>
      <x:c r="I366" s="38" t="n">
        <x:v>0</x:v>
      </x:c>
      <x:c r="J366" s="44" t="n">
        <x:v>194.4</x:v>
      </x:c>
      <x:c r="K366" s="13" t="str">
        <x:v>Completed</x:v>
      </x:c>
    </x:row>
    <x:row r="367">
      <x:c r="A367" s="13" t="str">
        <x:v>O0366</x:v>
      </x:c>
      <x:c r="B367" s="36" t="n">
        <x:v>46080</x:v>
      </x:c>
      <x:c r="C367" s="13" t="str">
        <x:v>C109</x:v>
      </x:c>
      <x:c r="D367" s="13" t="str">
        <x:v>P052</x:v>
      </x:c>
      <x:c r="E367" s="13" t="str">
        <x:v>Southwestern ON</x:v>
      </x:c>
      <x:c r="F367" s="13" t="str">
        <x:v>Casey</x:v>
      </x:c>
      <x:c r="G367" s="13" t="n">
        <x:v>7</x:v>
      </x:c>
      <x:c r="H367" s="44" t="n">
        <x:v>22.35</x:v>
      </x:c>
      <x:c r="I367" s="38" t="n">
        <x:v>0</x:v>
      </x:c>
      <x:c r="J367" s="44" t="n">
        <x:v>156.45</x:v>
      </x:c>
      <x:c r="K367" s="13" t="str">
        <x:v>Completed</x:v>
      </x:c>
    </x:row>
    <x:row r="368">
      <x:c r="A368" s="13" t="str">
        <x:v>O0367</x:v>
      </x:c>
      <x:c r="B368" s="36" t="n">
        <x:v>46030</x:v>
      </x:c>
      <x:c r="C368" s="13" t="str">
        <x:v>C076</x:v>
      </x:c>
      <x:c r="D368" s="13" t="str">
        <x:v>P001</x:v>
      </x:c>
      <x:c r="E368" s="13" t="str">
        <x:v>Southwestern ON</x:v>
      </x:c>
      <x:c r="F368" s="13" t="str">
        <x:v>Avery</x:v>
      </x:c>
      <x:c r="G368" s="13" t="n">
        <x:v>4</x:v>
      </x:c>
      <x:c r="H368" s="44" t="n">
        <x:v>12.66</x:v>
      </x:c>
      <x:c r="I368" s="38" t="n">
        <x:v>0.1</x:v>
      </x:c>
      <x:c r="J368" s="44" t="n">
        <x:v>45.58</x:v>
      </x:c>
      <x:c r="K368" s="13" t="str">
        <x:v>Completed</x:v>
      </x:c>
    </x:row>
    <x:row r="369">
      <x:c r="A369" s="13" t="str">
        <x:v>O0368</x:v>
      </x:c>
      <x:c r="B369" s="36" t="n">
        <x:v>46031</x:v>
      </x:c>
      <x:c r="C369" s="13" t="str">
        <x:v>C083</x:v>
      </x:c>
      <x:c r="D369" s="13" t="str">
        <x:v>P012</x:v>
      </x:c>
      <x:c r="E369" s="13" t="str">
        <x:v>GTA West</x:v>
      </x:c>
      <x:c r="F369" s="13" t="str">
        <x:v>Morgan</x:v>
      </x:c>
      <x:c r="G369" s="13" t="n">
        <x:v>8</x:v>
      </x:c>
      <x:c r="H369" s="44" t="n">
        <x:v>21.04</x:v>
      </x:c>
      <x:c r="I369" s="38" t="n">
        <x:v>0</x:v>
      </x:c>
      <x:c r="J369" s="44" t="n">
        <x:v>168.32</x:v>
      </x:c>
      <x:c r="K369" s="13" t="str">
        <x:v>Completed</x:v>
      </x:c>
    </x:row>
    <x:row r="370">
      <x:c r="A370" s="13" t="str">
        <x:v>O0369</x:v>
      </x:c>
      <x:c r="B370" s="36" t="n">
        <x:v>46073</x:v>
      </x:c>
      <x:c r="C370" s="13" t="str">
        <x:v>C103</x:v>
      </x:c>
      <x:c r="D370" s="13" t="str">
        <x:v>P042</x:v>
      </x:c>
      <x:c r="E370" s="13" t="str">
        <x:v>GTA West</x:v>
      </x:c>
      <x:c r="F370" s="13" t="str">
        <x:v>Casey</x:v>
      </x:c>
      <x:c r="G370" s="13" t="n">
        <x:v>3</x:v>
      </x:c>
      <x:c r="H370" s="44" t="n">
        <x:v>26.28</x:v>
      </x:c>
      <x:c r="I370" s="38" t="n">
        <x:v>0</x:v>
      </x:c>
      <x:c r="J370" s="44" t="n">
        <x:v>78.84</x:v>
      </x:c>
      <x:c r="K370" s="13" t="str">
        <x:v>Cancelled</x:v>
      </x:c>
    </x:row>
    <x:row r="371">
      <x:c r="A371" s="13" t="str">
        <x:v>O0370</x:v>
      </x:c>
      <x:c r="B371" s="36" t="n">
        <x:v>46265</x:v>
      </x:c>
      <x:c r="C371" s="13" t="str">
        <x:v>C040</x:v>
      </x:c>
      <x:c r="D371" s="13" t="str">
        <x:v>P039</x:v>
      </x:c>
      <x:c r="E371" s="13" t="str">
        <x:v>Western Canada</x:v>
      </x:c>
      <x:c r="F371" s="13" t="str">
        <x:v>Riley</x:v>
      </x:c>
      <x:c r="G371" s="13" t="n">
        <x:v>3</x:v>
      </x:c>
      <x:c r="H371" s="44" t="n">
        <x:v>14.42</x:v>
      </x:c>
      <x:c r="I371" s="38" t="n">
        <x:v>0.05</x:v>
      </x:c>
      <x:c r="J371" s="44" t="n">
        <x:v>41.1</x:v>
      </x:c>
      <x:c r="K371" s="13" t="str">
        <x:v>Completed</x:v>
      </x:c>
    </x:row>
    <x:row r="372">
      <x:c r="A372" s="13" t="str">
        <x:v>O0371</x:v>
      </x:c>
      <x:c r="B372" s="36" t="n">
        <x:v>46082</x:v>
      </x:c>
      <x:c r="C372" s="13" t="str">
        <x:v>C135</x:v>
      </x:c>
      <x:c r="D372" s="13" t="str">
        <x:v>P009</x:v>
      </x:c>
      <x:c r="E372" s="13" t="str">
        <x:v>Toronto</x:v>
      </x:c>
      <x:c r="F372" s="13" t="str">
        <x:v>Jordan</x:v>
      </x:c>
      <x:c r="G372" s="13" t="n">
        <x:v>3</x:v>
      </x:c>
      <x:c r="H372" s="44" t="n">
        <x:v>29.42</x:v>
      </x:c>
      <x:c r="I372" s="38" t="n">
        <x:v>0</x:v>
      </x:c>
      <x:c r="J372" s="44" t="n">
        <x:v>88.26</x:v>
      </x:c>
      <x:c r="K372" s="13" t="str">
        <x:v>Completed</x:v>
      </x:c>
    </x:row>
    <x:row r="373">
      <x:c r="A373" s="13" t="str">
        <x:v>O0372</x:v>
      </x:c>
      <x:c r="B373" s="36" t="n">
        <x:v>46190</x:v>
      </x:c>
      <x:c r="C373" s="13" t="str">
        <x:v>C069</x:v>
      </x:c>
      <x:c r="D373" s="13" t="str">
        <x:v>P046</x:v>
      </x:c>
      <x:c r="E373" s="13" t="str">
        <x:v>Toronto</x:v>
      </x:c>
      <x:c r="F373" s="13" t="str">
        <x:v>Taylor</x:v>
      </x:c>
      <x:c r="G373" s="13" t="n">
        <x:v>8</x:v>
      </x:c>
      <x:c r="H373" s="44" t="n">
        <x:v>15.24</x:v>
      </x:c>
      <x:c r="I373" s="38" t="n">
        <x:v>0.1</x:v>
      </x:c>
      <x:c r="J373" s="44" t="n">
        <x:v>109.73</x:v>
      </x:c>
      <x:c r="K373" s="13" t="str">
        <x:v>Completed</x:v>
      </x:c>
    </x:row>
    <x:row r="374">
      <x:c r="A374" s="13" t="str">
        <x:v>O0373</x:v>
      </x:c>
      <x:c r="B374" s="36" t="n">
        <x:v>46199</x:v>
      </x:c>
      <x:c r="C374" s="13" t="str">
        <x:v>C070</x:v>
      </x:c>
      <x:c r="D374" s="13" t="str">
        <x:v>P057</x:v>
      </x:c>
      <x:c r="E374" s="13" t="str">
        <x:v>Western Canada</x:v>
      </x:c>
      <x:c r="F374" s="13" t="str">
        <x:v>Riley</x:v>
      </x:c>
      <x:c r="G374" s="13" t="n">
        <x:v>9</x:v>
      </x:c>
      <x:c r="H374" s="44" t="n">
        <x:v>16.91</x:v>
      </x:c>
      <x:c r="I374" s="38" t="n">
        <x:v>0</x:v>
      </x:c>
      <x:c r="J374" s="44" t="n">
        <x:v>152.19</x:v>
      </x:c>
      <x:c r="K374" s="13" t="str">
        <x:v>Completed</x:v>
      </x:c>
    </x:row>
    <x:row r="375">
      <x:c r="A375" s="13" t="str">
        <x:v>O0374</x:v>
      </x:c>
      <x:c r="B375" s="36" t="n">
        <x:v>46190</x:v>
      </x:c>
      <x:c r="C375" s="13" t="str">
        <x:v>C010</x:v>
      </x:c>
      <x:c r="D375" s="13" t="str">
        <x:v>P007</x:v>
      </x:c>
      <x:c r="E375" s="13" t="str">
        <x:v>GTA West</x:v>
      </x:c>
      <x:c r="F375" s="13" t="str">
        <x:v>Jordan</x:v>
      </x:c>
      <x:c r="G375" s="13" t="n">
        <x:v>4</x:v>
      </x:c>
      <x:c r="H375" s="44" t="n">
        <x:v>31.23</x:v>
      </x:c>
      <x:c r="I375" s="38" t="n">
        <x:v>0</x:v>
      </x:c>
      <x:c r="J375" s="44" t="n">
        <x:v>124.92</x:v>
      </x:c>
      <x:c r="K375" s="13" t="str">
        <x:v>Completed</x:v>
      </x:c>
    </x:row>
    <x:row r="376">
      <x:c r="A376" s="13" t="str">
        <x:v>O0375</x:v>
      </x:c>
      <x:c r="B376" s="36" t="n">
        <x:v>46103</x:v>
      </x:c>
      <x:c r="C376" s="13" t="str">
        <x:v>C039</x:v>
      </x:c>
      <x:c r="D376" s="13" t="str">
        <x:v>P026</x:v>
      </x:c>
      <x:c r="E376" s="13" t="str">
        <x:v>Toronto</x:v>
      </x:c>
      <x:c r="F376" s="13" t="str">
        <x:v>Casey</x:v>
      </x:c>
      <x:c r="G376" s="13" t="n">
        <x:v>4</x:v>
      </x:c>
      <x:c r="H376" s="44" t="n">
        <x:v>22.79</x:v>
      </x:c>
      <x:c r="I376" s="38" t="n">
        <x:v>0.05</x:v>
      </x:c>
      <x:c r="J376" s="44" t="n">
        <x:v>86.6</x:v>
      </x:c>
      <x:c r="K376" s="13" t="str">
        <x:v>Cancelled</x:v>
      </x:c>
    </x:row>
    <x:row r="377">
      <x:c r="A377" s="13" t="str">
        <x:v>O0376</x:v>
      </x:c>
      <x:c r="B377" s="36" t="n">
        <x:v>46090</x:v>
      </x:c>
      <x:c r="C377" s="13" t="str">
        <x:v>C060</x:v>
      </x:c>
      <x:c r="D377" s="13" t="str">
        <x:v>P010</x:v>
      </x:c>
      <x:c r="E377" s="13" t="str">
        <x:v>Toronto</x:v>
      </x:c>
      <x:c r="F377" s="13" t="str">
        <x:v>Riley</x:v>
      </x:c>
      <x:c r="G377" s="13" t="n">
        <x:v>9</x:v>
      </x:c>
      <x:c r="H377" s="44" t="n">
        <x:v>26.15</x:v>
      </x:c>
      <x:c r="I377" s="38" t="n">
        <x:v>0.05</x:v>
      </x:c>
      <x:c r="J377" s="44" t="n">
        <x:v>223.58</x:v>
      </x:c>
      <x:c r="K377" s="13" t="str">
        <x:v>Completed</x:v>
      </x:c>
    </x:row>
    <x:row r="378">
      <x:c r="A378" s="13" t="str">
        <x:v>O0377</x:v>
      </x:c>
      <x:c r="B378" s="36" t="n">
        <x:v>46207</x:v>
      </x:c>
      <x:c r="C378" s="13" t="str">
        <x:v>C090</x:v>
      </x:c>
      <x:c r="D378" s="13" t="str">
        <x:v>P072</x:v>
      </x:c>
      <x:c r="E378" s="13" t="str">
        <x:v>Ottawa</x:v>
      </x:c>
      <x:c r="F378" s="13" t="str">
        <x:v>Taylor</x:v>
      </x:c>
      <x:c r="G378" s="13" t="n">
        <x:v>12</x:v>
      </x:c>
      <x:c r="H378" s="44" t="n">
        <x:v>38.37</x:v>
      </x:c>
      <x:c r="I378" s="38" t="n">
        <x:v>0.1</x:v>
      </x:c>
      <x:c r="J378" s="44" t="n">
        <x:v>414.4</x:v>
      </x:c>
      <x:c r="K378" s="13" t="str">
        <x:v>Completed</x:v>
      </x:c>
    </x:row>
    <x:row r="379">
      <x:c r="A379" s="13" t="str">
        <x:v>O0378</x:v>
      </x:c>
      <x:c r="B379" s="36" t="n">
        <x:v>46129</x:v>
      </x:c>
      <x:c r="C379" s="13" t="str">
        <x:v>C055</x:v>
      </x:c>
      <x:c r="D379" s="13" t="str">
        <x:v>P071</x:v>
      </x:c>
      <x:c r="E379" s="13" t="str">
        <x:v>Toronto</x:v>
      </x:c>
      <x:c r="F379" s="13" t="str">
        <x:v>Riley</x:v>
      </x:c>
      <x:c r="G379" s="13" t="n">
        <x:v>6</x:v>
      </x:c>
      <x:c r="H379" s="44" t="n">
        <x:v>66.69</x:v>
      </x:c>
      <x:c r="I379" s="38" t="n">
        <x:v>0.05</x:v>
      </x:c>
      <x:c r="J379" s="44" t="n">
        <x:v>380.13</x:v>
      </x:c>
      <x:c r="K379" s="13" t="str">
        <x:v>Pending</x:v>
      </x:c>
    </x:row>
    <x:row r="380">
      <x:c r="A380" s="13" t="str">
        <x:v>O0379</x:v>
      </x:c>
      <x:c r="B380" s="36" t="n">
        <x:v>46223</x:v>
      </x:c>
      <x:c r="C380" s="13" t="str">
        <x:v>C066</x:v>
      </x:c>
      <x:c r="D380" s="13" t="str">
        <x:v>P051</x:v>
      </x:c>
      <x:c r="E380" s="13" t="str">
        <x:v>Southwestern ON</x:v>
      </x:c>
      <x:c r="F380" s="13" t="str">
        <x:v>Riley</x:v>
      </x:c>
      <x:c r="G380" s="13" t="n">
        <x:v>6</x:v>
      </x:c>
      <x:c r="H380" s="44" t="n">
        <x:v>33.88</x:v>
      </x:c>
      <x:c r="I380" s="38" t="n">
        <x:v>0.1</x:v>
      </x:c>
      <x:c r="J380" s="44" t="n">
        <x:v>182.95</x:v>
      </x:c>
      <x:c r="K380" s="13" t="str">
        <x:v>Completed</x:v>
      </x:c>
    </x:row>
    <x:row r="381">
      <x:c r="A381" s="13" t="str">
        <x:v>O0380</x:v>
      </x:c>
      <x:c r="B381" s="36" t="n">
        <x:v>46226</x:v>
      </x:c>
      <x:c r="C381" s="13" t="str">
        <x:v>C053</x:v>
      </x:c>
      <x:c r="D381" s="13" t="str">
        <x:v>P038</x:v>
      </x:c>
      <x:c r="E381" s="13" t="str">
        <x:v>GTA West</x:v>
      </x:c>
      <x:c r="F381" s="13" t="str">
        <x:v>Avery</x:v>
      </x:c>
      <x:c r="G381" s="13" t="n">
        <x:v>5</x:v>
      </x:c>
      <x:c r="H381" s="44" t="n">
        <x:v>30.26</x:v>
      </x:c>
      <x:c r="I381" s="38" t="n">
        <x:v>0</x:v>
      </x:c>
      <x:c r="J381" s="44" t="n">
        <x:v>151.3</x:v>
      </x:c>
      <x:c r="K381" s="13" t="str">
        <x:v>Completed</x:v>
      </x:c>
    </x:row>
    <x:row r="382">
      <x:c r="A382" s="13" t="str">
        <x:v>O0381</x:v>
      </x:c>
      <x:c r="B382" s="36" t="n">
        <x:v>46075</x:v>
      </x:c>
      <x:c r="C382" s="13" t="str">
        <x:v>C084</x:v>
      </x:c>
      <x:c r="D382" s="13" t="str">
        <x:v>P062</x:v>
      </x:c>
      <x:c r="E382" s="13" t="str">
        <x:v>Ottawa</x:v>
      </x:c>
      <x:c r="F382" s="13" t="str">
        <x:v>Casey</x:v>
      </x:c>
      <x:c r="G382" s="13" t="n">
        <x:v>4</x:v>
      </x:c>
      <x:c r="H382" s="44" t="n">
        <x:v>87.5</x:v>
      </x:c>
      <x:c r="I382" s="38" t="n">
        <x:v>0.05</x:v>
      </x:c>
      <x:c r="J382" s="44" t="n">
        <x:v>332.5</x:v>
      </x:c>
      <x:c r="K382" s="13" t="str">
        <x:v>Completed</x:v>
      </x:c>
    </x:row>
    <x:row r="383">
      <x:c r="A383" s="13" t="str">
        <x:v>O0382</x:v>
      </x:c>
      <x:c r="B383" s="36" t="n">
        <x:v>46142</x:v>
      </x:c>
      <x:c r="C383" s="13" t="str">
        <x:v>C001</x:v>
      </x:c>
      <x:c r="D383" s="13" t="str">
        <x:v>P033</x:v>
      </x:c>
      <x:c r="E383" s="13" t="str">
        <x:v>Western Canada</x:v>
      </x:c>
      <x:c r="F383" s="13" t="str">
        <x:v>Jordan</x:v>
      </x:c>
      <x:c r="G383" s="13" t="n">
        <x:v>6</x:v>
      </x:c>
      <x:c r="H383" s="44" t="n">
        <x:v>18.86</x:v>
      </x:c>
      <x:c r="I383" s="38" t="n">
        <x:v>0</x:v>
      </x:c>
      <x:c r="J383" s="44" t="n">
        <x:v>113.16</x:v>
      </x:c>
      <x:c r="K383" s="13" t="str">
        <x:v>Completed</x:v>
      </x:c>
    </x:row>
    <x:row r="384">
      <x:c r="A384" s="13" t="str">
        <x:v>O0383</x:v>
      </x:c>
      <x:c r="B384" s="36" t="n">
        <x:v>46040</x:v>
      </x:c>
      <x:c r="C384" s="13" t="str">
        <x:v>C082</x:v>
      </x:c>
      <x:c r="D384" s="13" t="str">
        <x:v>P041</x:v>
      </x:c>
      <x:c r="E384" s="13" t="str">
        <x:v>Western Canada</x:v>
      </x:c>
      <x:c r="F384" s="13" t="str">
        <x:v>Taylor</x:v>
      </x:c>
      <x:c r="G384" s="13" t="n">
        <x:v>11</x:v>
      </x:c>
      <x:c r="H384" s="44" t="n">
        <x:v>25.09</x:v>
      </x:c>
      <x:c r="I384" s="38" t="n">
        <x:v>0.1</x:v>
      </x:c>
      <x:c r="J384" s="44" t="n">
        <x:v>248.39</x:v>
      </x:c>
      <x:c r="K384" s="13" t="str">
        <x:v>Completed</x:v>
      </x:c>
    </x:row>
    <x:row r="385">
      <x:c r="A385" s="13" t="str">
        <x:v>O0384</x:v>
      </x:c>
      <x:c r="B385" s="36" t="n">
        <x:v>46024</x:v>
      </x:c>
      <x:c r="C385" s="13" t="str">
        <x:v>C048</x:v>
      </x:c>
      <x:c r="D385" s="13" t="str">
        <x:v>P062</x:v>
      </x:c>
      <x:c r="E385" s="13" t="str">
        <x:v>Toronto</x:v>
      </x:c>
      <x:c r="F385" s="13" t="str">
        <x:v>Riley</x:v>
      </x:c>
      <x:c r="G385" s="13" t="n">
        <x:v>3</x:v>
      </x:c>
      <x:c r="H385" s="44" t="n">
        <x:v>87.5</x:v>
      </x:c>
      <x:c r="I385" s="38" t="n">
        <x:v>0</x:v>
      </x:c>
      <x:c r="J385" s="44" t="n">
        <x:v>262.5</x:v>
      </x:c>
      <x:c r="K385" s="13" t="str">
        <x:v>Completed</x:v>
      </x:c>
    </x:row>
    <x:row r="386">
      <x:c r="A386" s="13" t="str">
        <x:v>O0385</x:v>
      </x:c>
      <x:c r="B386" s="36" t="n">
        <x:v>46060</x:v>
      </x:c>
      <x:c r="C386" s="13" t="str">
        <x:v>C079</x:v>
      </x:c>
      <x:c r="D386" s="13" t="str">
        <x:v>P051</x:v>
      </x:c>
      <x:c r="E386" s="13" t="str">
        <x:v>Ottawa</x:v>
      </x:c>
      <x:c r="F386" s="13" t="str">
        <x:v>Morgan</x:v>
      </x:c>
      <x:c r="G386" s="13" t="n">
        <x:v>2</x:v>
      </x:c>
      <x:c r="H386" s="44" t="n">
        <x:v>33.88</x:v>
      </x:c>
      <x:c r="I386" s="38" t="n">
        <x:v>0</x:v>
      </x:c>
      <x:c r="J386" s="44" t="n">
        <x:v>67.76</x:v>
      </x:c>
      <x:c r="K386" s="13" t="str">
        <x:v>Completed</x:v>
      </x:c>
    </x:row>
    <x:row r="387">
      <x:c r="A387" s="13" t="str">
        <x:v>O0386</x:v>
      </x:c>
      <x:c r="B387" s="36" t="n">
        <x:v>46117</x:v>
      </x:c>
      <x:c r="C387" s="13" t="str">
        <x:v>C020</x:v>
      </x:c>
      <x:c r="D387" s="13" t="str">
        <x:v>P050</x:v>
      </x:c>
      <x:c r="E387" s="13" t="str">
        <x:v>GTA West</x:v>
      </x:c>
      <x:c r="F387" s="13" t="str">
        <x:v>Taylor</x:v>
      </x:c>
      <x:c r="G387" s="13" t="n">
        <x:v>7</x:v>
      </x:c>
      <x:c r="H387" s="44" t="n">
        <x:v>21.74</x:v>
      </x:c>
      <x:c r="I387" s="38" t="n">
        <x:v>0</x:v>
      </x:c>
      <x:c r="J387" s="44" t="n">
        <x:v>152.18</x:v>
      </x:c>
      <x:c r="K387" s="13" t="str">
        <x:v>Pending</x:v>
      </x:c>
    </x:row>
    <x:row r="388">
      <x:c r="A388" s="13" t="str">
        <x:v>O0387</x:v>
      </x:c>
      <x:c r="B388" s="36" t="n">
        <x:v>46205</x:v>
      </x:c>
      <x:c r="C388" s="13" t="str">
        <x:v>C014</x:v>
      </x:c>
      <x:c r="D388" s="13" t="str">
        <x:v>P057</x:v>
      </x:c>
      <x:c r="E388" s="13" t="str">
        <x:v>Southwestern ON</x:v>
      </x:c>
      <x:c r="F388" s="13" t="str">
        <x:v>Taylor</x:v>
      </x:c>
      <x:c r="G388" s="13" t="n">
        <x:v>2</x:v>
      </x:c>
      <x:c r="H388" s="44" t="n">
        <x:v>16.91</x:v>
      </x:c>
      <x:c r="I388" s="38" t="n">
        <x:v>0.1</x:v>
      </x:c>
      <x:c r="J388" s="44" t="n">
        <x:v>30.44</x:v>
      </x:c>
      <x:c r="K388" s="13" t="str">
        <x:v>Pending</x:v>
      </x:c>
    </x:row>
    <x:row r="389">
      <x:c r="A389" s="13" t="str">
        <x:v>O0388</x:v>
      </x:c>
      <x:c r="B389" s="36" t="n">
        <x:v>46180</x:v>
      </x:c>
      <x:c r="C389" s="13" t="str">
        <x:v>C052</x:v>
      </x:c>
      <x:c r="D389" s="13" t="str">
        <x:v>P043</x:v>
      </x:c>
      <x:c r="E389" s="13" t="str">
        <x:v>Southwestern ON</x:v>
      </x:c>
      <x:c r="F389" s="13" t="str">
        <x:v>Taylor</x:v>
      </x:c>
      <x:c r="G389" s="13" t="n">
        <x:v>9</x:v>
      </x:c>
      <x:c r="H389" s="44" t="n">
        <x:v>38.14</x:v>
      </x:c>
      <x:c r="I389" s="38" t="n">
        <x:v>0.1</x:v>
      </x:c>
      <x:c r="J389" s="44" t="n">
        <x:v>308.93</x:v>
      </x:c>
      <x:c r="K389" s="13" t="str">
        <x:v>Pending</x:v>
      </x:c>
    </x:row>
    <x:row r="390">
      <x:c r="A390" s="13" t="str">
        <x:v>O0389</x:v>
      </x:c>
      <x:c r="B390" s="36" t="n">
        <x:v>46060</x:v>
      </x:c>
      <x:c r="C390" s="13" t="str">
        <x:v>C023</x:v>
      </x:c>
      <x:c r="D390" s="13" t="str">
        <x:v>P018</x:v>
      </x:c>
      <x:c r="E390" s="13" t="str">
        <x:v>Southwestern ON</x:v>
      </x:c>
      <x:c r="F390" s="13" t="str">
        <x:v>Casey</x:v>
      </x:c>
      <x:c r="G390" s="13" t="n">
        <x:v>4</x:v>
      </x:c>
      <x:c r="H390" s="44" t="n">
        <x:v>19.54</x:v>
      </x:c>
      <x:c r="I390" s="38" t="n">
        <x:v>0.1</x:v>
      </x:c>
      <x:c r="J390" s="44" t="n">
        <x:v>70.34</x:v>
      </x:c>
      <x:c r="K390" s="13" t="str">
        <x:v>Completed</x:v>
      </x:c>
    </x:row>
    <x:row r="391">
      <x:c r="A391" s="13" t="str">
        <x:v>O0390</x:v>
      </x:c>
      <x:c r="B391" s="36" t="n">
        <x:v>46260</x:v>
      </x:c>
      <x:c r="C391" s="13" t="str">
        <x:v>C134</x:v>
      </x:c>
      <x:c r="D391" s="13" t="str">
        <x:v>P033</x:v>
      </x:c>
      <x:c r="E391" s="13" t="str">
        <x:v>Southwestern ON</x:v>
      </x:c>
      <x:c r="F391" s="13" t="str">
        <x:v>Avery</x:v>
      </x:c>
      <x:c r="G391" s="13" t="n">
        <x:v>11</x:v>
      </x:c>
      <x:c r="H391" s="44" t="n">
        <x:v>18.86</x:v>
      </x:c>
      <x:c r="I391" s="38" t="n">
        <x:v>0.1</x:v>
      </x:c>
      <x:c r="J391" s="44" t="n">
        <x:v>186.71</x:v>
      </x:c>
      <x:c r="K391" s="13" t="str">
        <x:v>Completed</x:v>
      </x:c>
    </x:row>
    <x:row r="392">
      <x:c r="A392" s="13" t="str">
        <x:v>O0391</x:v>
      </x:c>
      <x:c r="B392" s="36" t="n">
        <x:v>46126</x:v>
      </x:c>
      <x:c r="C392" s="13" t="str">
        <x:v>C038</x:v>
      </x:c>
      <x:c r="D392" s="13" t="str">
        <x:v>P062</x:v>
      </x:c>
      <x:c r="E392" s="13" t="str">
        <x:v>GTA West</x:v>
      </x:c>
      <x:c r="F392" s="13" t="str">
        <x:v>Avery</x:v>
      </x:c>
      <x:c r="G392" s="13" t="n">
        <x:v>10</x:v>
      </x:c>
      <x:c r="H392" s="44" t="n">
        <x:v>87.5</x:v>
      </x:c>
      <x:c r="I392" s="38" t="n">
        <x:v>0.1</x:v>
      </x:c>
      <x:c r="J392" s="44" t="n">
        <x:v>787.5</x:v>
      </x:c>
      <x:c r="K392" s="13" t="str">
        <x:v>Pending</x:v>
      </x:c>
    </x:row>
    <x:row r="393">
      <x:c r="A393" s="13" t="str">
        <x:v>O0392</x:v>
      </x:c>
      <x:c r="B393" s="36" t="n">
        <x:v>46253</x:v>
      </x:c>
      <x:c r="C393" s="13" t="str">
        <x:v>C022</x:v>
      </x:c>
      <x:c r="D393" s="13" t="str">
        <x:v>P041</x:v>
      </x:c>
      <x:c r="E393" s="13" t="str">
        <x:v>Ottawa</x:v>
      </x:c>
      <x:c r="F393" s="13" t="str">
        <x:v>Riley</x:v>
      </x:c>
      <x:c r="G393" s="13" t="n">
        <x:v>9</x:v>
      </x:c>
      <x:c r="H393" s="44" t="n">
        <x:v>25.09</x:v>
      </x:c>
      <x:c r="I393" s="38" t="n">
        <x:v>0.15</x:v>
      </x:c>
      <x:c r="J393" s="44" t="n">
        <x:v>191.94</x:v>
      </x:c>
      <x:c r="K393" s="13" t="str">
        <x:v>Completed</x:v>
      </x:c>
    </x:row>
    <x:row r="394">
      <x:c r="A394" s="13" t="str">
        <x:v>O0393</x:v>
      </x:c>
      <x:c r="B394" s="36" t="n">
        <x:v>46119</x:v>
      </x:c>
      <x:c r="C394" s="13" t="str">
        <x:v>C104</x:v>
      </x:c>
      <x:c r="D394" s="13" t="str">
        <x:v>P044</x:v>
      </x:c>
      <x:c r="E394" s="13" t="str">
        <x:v>Western Canada</x:v>
      </x:c>
      <x:c r="F394" s="13" t="str">
        <x:v>Casey</x:v>
      </x:c>
      <x:c r="G394" s="13" t="n">
        <x:v>7</x:v>
      </x:c>
      <x:c r="H394" s="44" t="n">
        <x:v>24.3</x:v>
      </x:c>
      <x:c r="I394" s="38" t="n">
        <x:v>0</x:v>
      </x:c>
      <x:c r="J394" s="44" t="n">
        <x:v>170.1</x:v>
      </x:c>
      <x:c r="K394" s="13" t="str">
        <x:v>Completed</x:v>
      </x:c>
    </x:row>
    <x:row r="395">
      <x:c r="A395" s="13" t="str">
        <x:v>O0394</x:v>
      </x:c>
      <x:c r="B395" s="36" t="n">
        <x:v>46108</x:v>
      </x:c>
      <x:c r="C395" s="13" t="str">
        <x:v>C079</x:v>
      </x:c>
      <x:c r="D395" s="13" t="str">
        <x:v>P061</x:v>
      </x:c>
      <x:c r="E395" s="13" t="str">
        <x:v>Western Canada</x:v>
      </x:c>
      <x:c r="F395" s="13" t="str">
        <x:v>Morgan</x:v>
      </x:c>
      <x:c r="G395" s="13" t="n">
        <x:v>2</x:v>
      </x:c>
      <x:c r="H395" s="44" t="n">
        <x:v>40.29</x:v>
      </x:c>
      <x:c r="I395" s="38" t="n">
        <x:v>0.15</x:v>
      </x:c>
      <x:c r="J395" s="44" t="n">
        <x:v>68.49</x:v>
      </x:c>
      <x:c r="K395" s="13" t="str">
        <x:v>Completed</x:v>
      </x:c>
    </x:row>
    <x:row r="396">
      <x:c r="A396" s="13" t="str">
        <x:v>O0395</x:v>
      </x:c>
      <x:c r="B396" s="36" t="n">
        <x:v>46254</x:v>
      </x:c>
      <x:c r="C396" s="13" t="str">
        <x:v>C006</x:v>
      </x:c>
      <x:c r="D396" s="13" t="str">
        <x:v>P062</x:v>
      </x:c>
      <x:c r="E396" s="13" t="str">
        <x:v>Toronto</x:v>
      </x:c>
      <x:c r="F396" s="13" t="str">
        <x:v>Avery</x:v>
      </x:c>
      <x:c r="G396" s="13" t="n">
        <x:v>11</x:v>
      </x:c>
      <x:c r="H396" s="44" t="n">
        <x:v>87.5</x:v>
      </x:c>
      <x:c r="I396" s="38" t="n">
        <x:v>0.15</x:v>
      </x:c>
      <x:c r="J396" s="44" t="n">
        <x:v>818.12</x:v>
      </x:c>
      <x:c r="K396" s="13" t="str">
        <x:v>Completed</x:v>
      </x:c>
    </x:row>
    <x:row r="397">
      <x:c r="A397" s="13" t="str">
        <x:v>O0396</x:v>
      </x:c>
      <x:c r="B397" s="36" t="n">
        <x:v>46261</x:v>
      </x:c>
      <x:c r="C397" s="13" t="str">
        <x:v>C011</x:v>
      </x:c>
      <x:c r="D397" s="13" t="str">
        <x:v>P008</x:v>
      </x:c>
      <x:c r="E397" s="13" t="str">
        <x:v>Toronto</x:v>
      </x:c>
      <x:c r="F397" s="13" t="str">
        <x:v>Casey</x:v>
      </x:c>
      <x:c r="G397" s="13" t="n">
        <x:v>1</x:v>
      </x:c>
      <x:c r="H397" s="44" t="n">
        <x:v>24.86</x:v>
      </x:c>
      <x:c r="I397" s="38" t="n">
        <x:v>0.05</x:v>
      </x:c>
      <x:c r="J397" s="44" t="n">
        <x:v>23.62</x:v>
      </x:c>
      <x:c r="K397" s="13" t="str">
        <x:v>Completed</x:v>
      </x:c>
    </x:row>
    <x:row r="398">
      <x:c r="A398" s="13" t="str">
        <x:v>O0397</x:v>
      </x:c>
      <x:c r="B398" s="36" t="n">
        <x:v>46265</x:v>
      </x:c>
      <x:c r="C398" s="13" t="str">
        <x:v>C087</x:v>
      </x:c>
      <x:c r="D398" s="13" t="str">
        <x:v>P073</x:v>
      </x:c>
      <x:c r="E398" s="13" t="str">
        <x:v>GTA West</x:v>
      </x:c>
      <x:c r="F398" s="13" t="str">
        <x:v>Avery</x:v>
      </x:c>
      <x:c r="G398" s="13" t="n">
        <x:v>1</x:v>
      </x:c>
      <x:c r="H398" s="44" t="n">
        <x:v>78.14</x:v>
      </x:c>
      <x:c r="I398" s="38" t="n">
        <x:v>0</x:v>
      </x:c>
      <x:c r="J398" s="44" t="n">
        <x:v>78.14</x:v>
      </x:c>
      <x:c r="K398" s="13" t="str">
        <x:v>Pending</x:v>
      </x:c>
    </x:row>
    <x:row r="399">
      <x:c r="A399" s="13" t="str">
        <x:v>O0398</x:v>
      </x:c>
      <x:c r="B399" s="36" t="n">
        <x:v>46089</x:v>
      </x:c>
      <x:c r="C399" s="13" t="str">
        <x:v>C034</x:v>
      </x:c>
      <x:c r="D399" s="13" t="str">
        <x:v>P008</x:v>
      </x:c>
      <x:c r="E399" s="13" t="str">
        <x:v>Western Canada</x:v>
      </x:c>
      <x:c r="F399" s="13" t="str">
        <x:v>Jordan</x:v>
      </x:c>
      <x:c r="G399" s="13" t="n">
        <x:v>5</x:v>
      </x:c>
      <x:c r="H399" s="44" t="n">
        <x:v>24.86</x:v>
      </x:c>
      <x:c r="I399" s="38" t="n">
        <x:v>0.15</x:v>
      </x:c>
      <x:c r="J399" s="44" t="n">
        <x:v>105.66</x:v>
      </x:c>
      <x:c r="K399" s="13" t="str">
        <x:v>Pending</x:v>
      </x:c>
    </x:row>
    <x:row r="400">
      <x:c r="A400" s="13" t="str">
        <x:v>O0399</x:v>
      </x:c>
      <x:c r="B400" s="36" t="n">
        <x:v>46032</x:v>
      </x:c>
      <x:c r="C400" s="13" t="str">
        <x:v>C083</x:v>
      </x:c>
      <x:c r="D400" s="13" t="str">
        <x:v>P024</x:v>
      </x:c>
      <x:c r="E400" s="13" t="str">
        <x:v>Southwestern ON</x:v>
      </x:c>
      <x:c r="F400" s="13" t="str">
        <x:v>Casey</x:v>
      </x:c>
      <x:c r="G400" s="13" t="n">
        <x:v>1</x:v>
      </x:c>
      <x:c r="H400" s="44" t="n">
        <x:v>19.12</x:v>
      </x:c>
      <x:c r="I400" s="38" t="n">
        <x:v>0</x:v>
      </x:c>
      <x:c r="J400" s="44" t="n">
        <x:v>19.12</x:v>
      </x:c>
      <x:c r="K400" s="13" t="str">
        <x:v>Completed</x:v>
      </x:c>
    </x:row>
    <x:row r="401">
      <x:c r="A401" s="13" t="str">
        <x:v>O0400</x:v>
      </x:c>
      <x:c r="B401" s="36" t="n">
        <x:v>46080</x:v>
      </x:c>
      <x:c r="C401" s="13" t="str">
        <x:v>C070</x:v>
      </x:c>
      <x:c r="D401" s="13" t="str">
        <x:v>P040</x:v>
      </x:c>
      <x:c r="E401" s="13" t="str">
        <x:v>Southwestern ON</x:v>
      </x:c>
      <x:c r="F401" s="13" t="str">
        <x:v>Casey</x:v>
      </x:c>
      <x:c r="G401" s="13" t="n">
        <x:v>5</x:v>
      </x:c>
      <x:c r="H401" s="44" t="n">
        <x:v>15.6</x:v>
      </x:c>
      <x:c r="I401" s="38" t="n">
        <x:v>0</x:v>
      </x:c>
      <x:c r="J401" s="44" t="n">
        <x:v>78</x:v>
      </x:c>
      <x:c r="K401" s="13" t="str">
        <x:v>Completed</x:v>
      </x:c>
    </x:row>
    <x:row r="402">
      <x:c r="A402" s="13" t="str">
        <x:v>O0401</x:v>
      </x:c>
      <x:c r="B402" s="36" t="n">
        <x:v>46187</x:v>
      </x:c>
      <x:c r="C402" s="13" t="str">
        <x:v>C081</x:v>
      </x:c>
      <x:c r="D402" s="13" t="str">
        <x:v>P028</x:v>
      </x:c>
      <x:c r="E402" s="13" t="str">
        <x:v>GTA West</x:v>
      </x:c>
      <x:c r="F402" s="13" t="str">
        <x:v>Taylor</x:v>
      </x:c>
      <x:c r="G402" s="13" t="n">
        <x:v>6</x:v>
      </x:c>
      <x:c r="H402" s="44" t="n">
        <x:v>27.55</x:v>
      </x:c>
      <x:c r="I402" s="38" t="n">
        <x:v>0</x:v>
      </x:c>
      <x:c r="J402" s="44" t="n">
        <x:v>165.3</x:v>
      </x:c>
      <x:c r="K402" s="13" t="str">
        <x:v>Completed</x:v>
      </x:c>
    </x:row>
    <x:row r="403">
      <x:c r="A403" s="13" t="str">
        <x:v>O0402</x:v>
      </x:c>
      <x:c r="B403" s="36" t="n">
        <x:v>46203</x:v>
      </x:c>
      <x:c r="C403" s="13" t="str">
        <x:v>C009</x:v>
      </x:c>
      <x:c r="D403" s="13" t="str">
        <x:v>P029</x:v>
      </x:c>
      <x:c r="E403" s="13" t="str">
        <x:v>Western Canada</x:v>
      </x:c>
      <x:c r="F403" s="13" t="str">
        <x:v>Riley</x:v>
      </x:c>
      <x:c r="G403" s="13" t="n">
        <x:v>9</x:v>
      </x:c>
      <x:c r="H403" s="44" t="n">
        <x:v>15.29</x:v>
      </x:c>
      <x:c r="I403" s="38" t="n">
        <x:v>0.05</x:v>
      </x:c>
      <x:c r="J403" s="44" t="n">
        <x:v>130.73</x:v>
      </x:c>
      <x:c r="K403" s="13" t="str">
        <x:v>Pending</x:v>
      </x:c>
    </x:row>
    <x:row r="404">
      <x:c r="A404" s="13" t="str">
        <x:v>O0403</x:v>
      </x:c>
      <x:c r="B404" s="36" t="n">
        <x:v>46028</x:v>
      </x:c>
      <x:c r="C404" s="13" t="str">
        <x:v>C025</x:v>
      </x:c>
      <x:c r="D404" s="13" t="str">
        <x:v>P053</x:v>
      </x:c>
      <x:c r="E404" s="13" t="str">
        <x:v>Southwestern ON</x:v>
      </x:c>
      <x:c r="F404" s="13" t="str">
        <x:v>Morgan</x:v>
      </x:c>
      <x:c r="G404" s="13" t="n">
        <x:v>7</x:v>
      </x:c>
      <x:c r="H404" s="44" t="n">
        <x:v>17.95</x:v>
      </x:c>
      <x:c r="I404" s="38" t="n">
        <x:v>0</x:v>
      </x:c>
      <x:c r="J404" s="44" t="n">
        <x:v>125.65</x:v>
      </x:c>
      <x:c r="K404" s="13" t="str">
        <x:v>Pending</x:v>
      </x:c>
    </x:row>
    <x:row r="405">
      <x:c r="A405" s="13" t="str">
        <x:v>O0404</x:v>
      </x:c>
      <x:c r="B405" s="36" t="n">
        <x:v>46183</x:v>
      </x:c>
      <x:c r="C405" s="13" t="str">
        <x:v>C118</x:v>
      </x:c>
      <x:c r="D405" s="13" t="str">
        <x:v>P073</x:v>
      </x:c>
      <x:c r="E405" s="13" t="str">
        <x:v>Ottawa</x:v>
      </x:c>
      <x:c r="F405" s="13" t="str">
        <x:v>Jordan</x:v>
      </x:c>
      <x:c r="G405" s="13" t="n">
        <x:v>7</x:v>
      </x:c>
      <x:c r="H405" s="44" t="n">
        <x:v>78.14</x:v>
      </x:c>
      <x:c r="I405" s="38" t="n">
        <x:v>0.15</x:v>
      </x:c>
      <x:c r="J405" s="44" t="n">
        <x:v>464.93</x:v>
      </x:c>
      <x:c r="K405" s="13" t="str">
        <x:v>Cancelled</x:v>
      </x:c>
    </x:row>
    <x:row r="406">
      <x:c r="A406" s="13" t="str">
        <x:v>O0405</x:v>
      </x:c>
      <x:c r="B406" s="36" t="n">
        <x:v>46158</x:v>
      </x:c>
      <x:c r="C406" s="13" t="str">
        <x:v>C050</x:v>
      </x:c>
      <x:c r="D406" s="13" t="str">
        <x:v>P047</x:v>
      </x:c>
      <x:c r="E406" s="13" t="str">
        <x:v>Western Canada</x:v>
      </x:c>
      <x:c r="F406" s="13" t="str">
        <x:v>Jordan</x:v>
      </x:c>
      <x:c r="G406" s="13" t="n">
        <x:v>5</x:v>
      </x:c>
      <x:c r="H406" s="44" t="n">
        <x:v>30.55</x:v>
      </x:c>
      <x:c r="I406" s="38" t="n">
        <x:v>0</x:v>
      </x:c>
      <x:c r="J406" s="44" t="n">
        <x:v>152.75</x:v>
      </x:c>
      <x:c r="K406" s="13" t="str">
        <x:v>Completed</x:v>
      </x:c>
    </x:row>
    <x:row r="407">
      <x:c r="A407" s="13" t="str">
        <x:v>O0406</x:v>
      </x:c>
      <x:c r="B407" s="36" t="n">
        <x:v>46134</x:v>
      </x:c>
      <x:c r="C407" s="13" t="str">
        <x:v>C004</x:v>
      </x:c>
      <x:c r="D407" s="13" t="str">
        <x:v>P042</x:v>
      </x:c>
      <x:c r="E407" s="13" t="str">
        <x:v>GTA West</x:v>
      </x:c>
      <x:c r="F407" s="13" t="str">
        <x:v>Avery</x:v>
      </x:c>
      <x:c r="G407" s="13" t="n">
        <x:v>7</x:v>
      </x:c>
      <x:c r="H407" s="44" t="n">
        <x:v>26.28</x:v>
      </x:c>
      <x:c r="I407" s="38" t="n">
        <x:v>0</x:v>
      </x:c>
      <x:c r="J407" s="44" t="n">
        <x:v>183.96</x:v>
      </x:c>
      <x:c r="K407" s="13" t="str">
        <x:v>Completed</x:v>
      </x:c>
    </x:row>
    <x:row r="408">
      <x:c r="A408" s="13" t="str">
        <x:v>O0407</x:v>
      </x:c>
      <x:c r="B408" s="36" t="n">
        <x:v>46139</x:v>
      </x:c>
      <x:c r="C408" s="13" t="str">
        <x:v>C066</x:v>
      </x:c>
      <x:c r="D408" s="13" t="str">
        <x:v>P001</x:v>
      </x:c>
      <x:c r="E408" s="13" t="str">
        <x:v>Ottawa</x:v>
      </x:c>
      <x:c r="F408" s="13" t="str">
        <x:v>Jordan</x:v>
      </x:c>
      <x:c r="G408" s="13" t="n">
        <x:v>8</x:v>
      </x:c>
      <x:c r="H408" s="44" t="n">
        <x:v>12.66</x:v>
      </x:c>
      <x:c r="I408" s="38" t="n">
        <x:v>0</x:v>
      </x:c>
      <x:c r="J408" s="44" t="n">
        <x:v>101.28</x:v>
      </x:c>
      <x:c r="K408" s="13" t="str">
        <x:v>Completed</x:v>
      </x:c>
    </x:row>
    <x:row r="409">
      <x:c r="A409" s="13" t="str">
        <x:v>O0408</x:v>
      </x:c>
      <x:c r="B409" s="36" t="n">
        <x:v>46053</x:v>
      </x:c>
      <x:c r="C409" s="13" t="str">
        <x:v>C065</x:v>
      </x:c>
      <x:c r="D409" s="13" t="str">
        <x:v>P012</x:v>
      </x:c>
      <x:c r="E409" s="13" t="str">
        <x:v>Western Canada</x:v>
      </x:c>
      <x:c r="F409" s="13" t="str">
        <x:v>Taylor</x:v>
      </x:c>
      <x:c r="G409" s="13" t="n">
        <x:v>9</x:v>
      </x:c>
      <x:c r="H409" s="44" t="n">
        <x:v>21.04</x:v>
      </x:c>
      <x:c r="I409" s="38" t="n">
        <x:v>0</x:v>
      </x:c>
      <x:c r="J409" s="44" t="n">
        <x:v>189.36</x:v>
      </x:c>
      <x:c r="K409" s="13" t="str">
        <x:v>Completed</x:v>
      </x:c>
    </x:row>
    <x:row r="410">
      <x:c r="A410" s="13" t="str">
        <x:v>O0409</x:v>
      </x:c>
      <x:c r="B410" s="36" t="n">
        <x:v>46227</x:v>
      </x:c>
      <x:c r="C410" s="13" t="str">
        <x:v>C073</x:v>
      </x:c>
      <x:c r="D410" s="13" t="str">
        <x:v>P046</x:v>
      </x:c>
      <x:c r="E410" s="13" t="str">
        <x:v>Southwestern ON</x:v>
      </x:c>
      <x:c r="F410" s="13" t="str">
        <x:v>Casey</x:v>
      </x:c>
      <x:c r="G410" s="13" t="n">
        <x:v>4</x:v>
      </x:c>
      <x:c r="H410" s="44" t="n">
        <x:v>15.24</x:v>
      </x:c>
      <x:c r="I410" s="38" t="n">
        <x:v>0</x:v>
      </x:c>
      <x:c r="J410" s="44" t="n">
        <x:v>60.96</x:v>
      </x:c>
      <x:c r="K410" s="13" t="str">
        <x:v>Completed</x:v>
      </x:c>
    </x:row>
    <x:row r="411">
      <x:c r="A411" s="13" t="str">
        <x:v>O0410</x:v>
      </x:c>
      <x:c r="B411" s="36" t="n">
        <x:v>46188</x:v>
      </x:c>
      <x:c r="C411" s="13" t="str">
        <x:v>C074</x:v>
      </x:c>
      <x:c r="D411" s="13" t="str">
        <x:v>P013</x:v>
      </x:c>
      <x:c r="E411" s="13" t="str">
        <x:v>GTA West</x:v>
      </x:c>
      <x:c r="F411" s="13" t="str">
        <x:v>Casey</x:v>
      </x:c>
      <x:c r="G411" s="13" t="n">
        <x:v>10</x:v>
      </x:c>
      <x:c r="H411" s="44" t="n">
        <x:v>12.07</x:v>
      </x:c>
      <x:c r="I411" s="38" t="n">
        <x:v>0.05</x:v>
      </x:c>
      <x:c r="J411" s="44" t="n">
        <x:v>114.66</x:v>
      </x:c>
      <x:c r="K411" s="13" t="str">
        <x:v>Completed</x:v>
      </x:c>
    </x:row>
    <x:row r="412">
      <x:c r="A412" s="13" t="str">
        <x:v>O0411</x:v>
      </x:c>
      <x:c r="B412" s="36" t="n">
        <x:v>46136</x:v>
      </x:c>
      <x:c r="C412" s="13" t="str">
        <x:v>C107</x:v>
      </x:c>
      <x:c r="D412" s="13" t="str">
        <x:v>P065</x:v>
      </x:c>
      <x:c r="E412" s="13" t="str">
        <x:v>Western Canada</x:v>
      </x:c>
      <x:c r="F412" s="13" t="str">
        <x:v>Jordan</x:v>
      </x:c>
      <x:c r="G412" s="13" t="n">
        <x:v>1</x:v>
      </x:c>
      <x:c r="H412" s="44" t="n">
        <x:v>31.76</x:v>
      </x:c>
      <x:c r="I412" s="38" t="n">
        <x:v>0.1</x:v>
      </x:c>
      <x:c r="J412" s="44" t="n">
        <x:v>28.58</x:v>
      </x:c>
      <x:c r="K412" s="13" t="str">
        <x:v>Completed</x:v>
      </x:c>
    </x:row>
    <x:row r="413">
      <x:c r="A413" s="13" t="str">
        <x:v>O0412</x:v>
      </x:c>
      <x:c r="B413" s="36" t="n">
        <x:v>46094</x:v>
      </x:c>
      <x:c r="C413" s="13" t="str">
        <x:v>C121</x:v>
      </x:c>
      <x:c r="D413" s="13" t="str">
        <x:v>P036</x:v>
      </x:c>
      <x:c r="E413" s="13" t="str">
        <x:v>GTA West</x:v>
      </x:c>
      <x:c r="F413" s="13" t="str">
        <x:v>Riley</x:v>
      </x:c>
      <x:c r="G413" s="13" t="n">
        <x:v>9</x:v>
      </x:c>
      <x:c r="H413" s="44" t="n">
        <x:v>24.04</x:v>
      </x:c>
      <x:c r="I413" s="38" t="n">
        <x:v>0.1</x:v>
      </x:c>
      <x:c r="J413" s="44" t="n">
        <x:v>194.72</x:v>
      </x:c>
      <x:c r="K413" s="13" t="str">
        <x:v>Pending</x:v>
      </x:c>
    </x:row>
    <x:row r="414">
      <x:c r="A414" s="13" t="str">
        <x:v>O0413</x:v>
      </x:c>
      <x:c r="B414" s="36" t="n">
        <x:v>46199</x:v>
      </x:c>
      <x:c r="C414" s="13" t="str">
        <x:v>C087</x:v>
      </x:c>
      <x:c r="D414" s="13" t="str">
        <x:v>P042</x:v>
      </x:c>
      <x:c r="E414" s="13" t="str">
        <x:v>Ottawa</x:v>
      </x:c>
      <x:c r="F414" s="13" t="str">
        <x:v>Jordan</x:v>
      </x:c>
      <x:c r="G414" s="13" t="n">
        <x:v>11</x:v>
      </x:c>
      <x:c r="H414" s="44" t="n">
        <x:v>26.28</x:v>
      </x:c>
      <x:c r="I414" s="38" t="n">
        <x:v>0.05</x:v>
      </x:c>
      <x:c r="J414" s="44" t="n">
        <x:v>274.63</x:v>
      </x:c>
      <x:c r="K414" s="13" t="str">
        <x:v>Completed</x:v>
      </x:c>
    </x:row>
    <x:row r="415">
      <x:c r="A415" s="13" t="str">
        <x:v>O0414</x:v>
      </x:c>
      <x:c r="B415" s="36" t="n">
        <x:v>46061</x:v>
      </x:c>
      <x:c r="C415" s="13" t="str">
        <x:v>C062</x:v>
      </x:c>
      <x:c r="D415" s="13" t="str">
        <x:v>P058</x:v>
      </x:c>
      <x:c r="E415" s="13" t="str">
        <x:v>GTA West</x:v>
      </x:c>
      <x:c r="F415" s="13" t="str">
        <x:v>Casey</x:v>
      </x:c>
      <x:c r="G415" s="13" t="n">
        <x:v>7</x:v>
      </x:c>
      <x:c r="H415" s="44" t="n">
        <x:v>36.09</x:v>
      </x:c>
      <x:c r="I415" s="38" t="n">
        <x:v>0.05</x:v>
      </x:c>
      <x:c r="J415" s="44" t="n">
        <x:v>240</x:v>
      </x:c>
      <x:c r="K415" s="13" t="str">
        <x:v>Completed</x:v>
      </x:c>
    </x:row>
    <x:row r="416">
      <x:c r="A416" s="13" t="str">
        <x:v>O0415</x:v>
      </x:c>
      <x:c r="B416" s="36" t="n">
        <x:v>46161</x:v>
      </x:c>
      <x:c r="C416" s="13" t="str">
        <x:v>C104</x:v>
      </x:c>
      <x:c r="D416" s="13" t="str">
        <x:v>P025</x:v>
      </x:c>
      <x:c r="E416" s="13" t="str">
        <x:v>Southwestern ON</x:v>
      </x:c>
      <x:c r="F416" s="13" t="str">
        <x:v>Jordan</x:v>
      </x:c>
      <x:c r="G416" s="13" t="n">
        <x:v>4</x:v>
      </x:c>
      <x:c r="H416" s="44" t="n">
        <x:v>23.27</x:v>
      </x:c>
      <x:c r="I416" s="38" t="n">
        <x:v>0.15</x:v>
      </x:c>
      <x:c r="J416" s="44" t="n">
        <x:v>79.12</x:v>
      </x:c>
      <x:c r="K416" s="13" t="str">
        <x:v>Pending</x:v>
      </x:c>
    </x:row>
    <x:row r="417">
      <x:c r="A417" s="13" t="str">
        <x:v>O0416</x:v>
      </x:c>
      <x:c r="B417" s="36" t="n">
        <x:v>46149</x:v>
      </x:c>
      <x:c r="C417" s="13" t="str">
        <x:v>C015</x:v>
      </x:c>
      <x:c r="D417" s="13" t="str">
        <x:v>P012</x:v>
      </x:c>
      <x:c r="E417" s="13" t="str">
        <x:v>Ottawa</x:v>
      </x:c>
      <x:c r="F417" s="13" t="str">
        <x:v>Avery</x:v>
      </x:c>
      <x:c r="G417" s="13" t="n">
        <x:v>9</x:v>
      </x:c>
      <x:c r="H417" s="44" t="n">
        <x:v>21.04</x:v>
      </x:c>
      <x:c r="I417" s="38" t="n">
        <x:v>0</x:v>
      </x:c>
      <x:c r="J417" s="44" t="n">
        <x:v>189.36</x:v>
      </x:c>
      <x:c r="K417" s="13" t="str">
        <x:v>Completed</x:v>
      </x:c>
    </x:row>
    <x:row r="418">
      <x:c r="A418" s="13" t="str">
        <x:v>O0417</x:v>
      </x:c>
      <x:c r="B418" s="36" t="n">
        <x:v>46169</x:v>
      </x:c>
      <x:c r="C418" s="13" t="str">
        <x:v>C021</x:v>
      </x:c>
      <x:c r="D418" s="13" t="str">
        <x:v>P022</x:v>
      </x:c>
      <x:c r="E418" s="13" t="str">
        <x:v>GTA West</x:v>
      </x:c>
      <x:c r="F418" s="13" t="str">
        <x:v>Avery</x:v>
      </x:c>
      <x:c r="G418" s="13" t="n">
        <x:v>12</x:v>
      </x:c>
      <x:c r="H418" s="44" t="n">
        <x:v>25.34</x:v>
      </x:c>
      <x:c r="I418" s="38" t="n">
        <x:v>0</x:v>
      </x:c>
      <x:c r="J418" s="44" t="n">
        <x:v>304.08</x:v>
      </x:c>
      <x:c r="K418" s="13" t="str">
        <x:v>Pending</x:v>
      </x:c>
    </x:row>
    <x:row r="419">
      <x:c r="A419" s="13" t="str">
        <x:v>O0418</x:v>
      </x:c>
      <x:c r="B419" s="36" t="n">
        <x:v>46238</x:v>
      </x:c>
      <x:c r="C419" s="13" t="str">
        <x:v>C120</x:v>
      </x:c>
      <x:c r="D419" s="13" t="str">
        <x:v>P018</x:v>
      </x:c>
      <x:c r="E419" s="13" t="str">
        <x:v>Western Canada</x:v>
      </x:c>
      <x:c r="F419" s="13" t="str">
        <x:v>Morgan</x:v>
      </x:c>
      <x:c r="G419" s="13" t="n">
        <x:v>6</x:v>
      </x:c>
      <x:c r="H419" s="44" t="n">
        <x:v>19.54</x:v>
      </x:c>
      <x:c r="I419" s="38" t="n">
        <x:v>0.05</x:v>
      </x:c>
      <x:c r="J419" s="44" t="n">
        <x:v>111.38</x:v>
      </x:c>
      <x:c r="K419" s="13" t="str">
        <x:v>Completed</x:v>
      </x:c>
    </x:row>
    <x:row r="420">
      <x:c r="A420" s="13" t="str">
        <x:v>O0419</x:v>
      </x:c>
      <x:c r="B420" s="36" t="n">
        <x:v>46201</x:v>
      </x:c>
      <x:c r="C420" s="13" t="str">
        <x:v>C027</x:v>
      </x:c>
      <x:c r="D420" s="13" t="str">
        <x:v>P068</x:v>
      </x:c>
      <x:c r="E420" s="13" t="str">
        <x:v>Ottawa</x:v>
      </x:c>
      <x:c r="F420" s="13" t="str">
        <x:v>Riley</x:v>
      </x:c>
      <x:c r="G420" s="13" t="n">
        <x:v>2</x:v>
      </x:c>
      <x:c r="H420" s="44" t="n">
        <x:v>50.69</x:v>
      </x:c>
      <x:c r="I420" s="38" t="n">
        <x:v>0.1</x:v>
      </x:c>
      <x:c r="J420" s="44" t="n">
        <x:v>91.24</x:v>
      </x:c>
      <x:c r="K420" s="13" t="str">
        <x:v>Completed</x:v>
      </x:c>
    </x:row>
    <x:row r="421">
      <x:c r="A421" s="13" t="str">
        <x:v>O0420</x:v>
      </x:c>
      <x:c r="B421" s="36" t="n">
        <x:v>46135</x:v>
      </x:c>
      <x:c r="C421" s="13" t="str">
        <x:v>C040</x:v>
      </x:c>
      <x:c r="D421" s="13" t="str">
        <x:v>P051</x:v>
      </x:c>
      <x:c r="E421" s="13" t="str">
        <x:v>GTA West</x:v>
      </x:c>
      <x:c r="F421" s="13" t="str">
        <x:v>Casey</x:v>
      </x:c>
      <x:c r="G421" s="13" t="n">
        <x:v>11</x:v>
      </x:c>
      <x:c r="H421" s="44" t="n">
        <x:v>33.88</x:v>
      </x:c>
      <x:c r="I421" s="38" t="n">
        <x:v>0.15</x:v>
      </x:c>
      <x:c r="J421" s="44" t="n">
        <x:v>316.78</x:v>
      </x:c>
      <x:c r="K421" s="13" t="str">
        <x:v>Completed</x:v>
      </x:c>
    </x:row>
    <x:row r="422">
      <x:c r="A422" s="13" t="str">
        <x:v>O0421</x:v>
      </x:c>
      <x:c r="B422" s="36" t="n">
        <x:v>46252</x:v>
      </x:c>
      <x:c r="C422" s="13" t="str">
        <x:v>C027</x:v>
      </x:c>
      <x:c r="D422" s="13" t="str">
        <x:v>P031</x:v>
      </x:c>
      <x:c r="E422" s="13" t="str">
        <x:v>Southwestern ON</x:v>
      </x:c>
      <x:c r="F422" s="13" t="str">
        <x:v>Casey</x:v>
      </x:c>
      <x:c r="G422" s="13" t="n">
        <x:v>4</x:v>
      </x:c>
      <x:c r="H422" s="44" t="n">
        <x:v>26.62</x:v>
      </x:c>
      <x:c r="I422" s="38" t="n">
        <x:v>0</x:v>
      </x:c>
      <x:c r="J422" s="44" t="n">
        <x:v>106.48</x:v>
      </x:c>
      <x:c r="K422" s="13" t="str">
        <x:v>Completed</x:v>
      </x:c>
    </x:row>
    <x:row r="423">
      <x:c r="A423" s="13" t="str">
        <x:v>O0422</x:v>
      </x:c>
      <x:c r="B423" s="36" t="n">
        <x:v>46208</x:v>
      </x:c>
      <x:c r="C423" s="13" t="str">
        <x:v>C078</x:v>
      </x:c>
      <x:c r="D423" s="13" t="str">
        <x:v>P072</x:v>
      </x:c>
      <x:c r="E423" s="13" t="str">
        <x:v>GTA West</x:v>
      </x:c>
      <x:c r="F423" s="13" t="str">
        <x:v>Casey</x:v>
      </x:c>
      <x:c r="G423" s="13" t="n">
        <x:v>3</x:v>
      </x:c>
      <x:c r="H423" s="44" t="n">
        <x:v>38.37</x:v>
      </x:c>
      <x:c r="I423" s="38" t="n">
        <x:v>0.05</x:v>
      </x:c>
      <x:c r="J423" s="44" t="n">
        <x:v>109.35</x:v>
      </x:c>
      <x:c r="K423" s="13" t="str">
        <x:v>Completed</x:v>
      </x:c>
    </x:row>
    <x:row r="424">
      <x:c r="A424" s="13" t="str">
        <x:v>O0423</x:v>
      </x:c>
      <x:c r="B424" s="36" t="n">
        <x:v>46053</x:v>
      </x:c>
      <x:c r="C424" s="13" t="str">
        <x:v>C100</x:v>
      </x:c>
      <x:c r="D424" s="13" t="str">
        <x:v>P062</x:v>
      </x:c>
      <x:c r="E424" s="13" t="str">
        <x:v>Ottawa</x:v>
      </x:c>
      <x:c r="F424" s="13" t="str">
        <x:v>Morgan</x:v>
      </x:c>
      <x:c r="G424" s="13" t="n">
        <x:v>3</x:v>
      </x:c>
      <x:c r="H424" s="44" t="n">
        <x:v>87.5</x:v>
      </x:c>
      <x:c r="I424" s="38" t="n">
        <x:v>0.1</x:v>
      </x:c>
      <x:c r="J424" s="44" t="n">
        <x:v>236.25</x:v>
      </x:c>
      <x:c r="K424" s="13" t="str">
        <x:v>Cancelled</x:v>
      </x:c>
    </x:row>
    <x:row r="425">
      <x:c r="A425" s="13" t="str">
        <x:v>O0424</x:v>
      </x:c>
      <x:c r="B425" s="36" t="n">
        <x:v>46119</x:v>
      </x:c>
      <x:c r="C425" s="13" t="str">
        <x:v>C068</x:v>
      </x:c>
      <x:c r="D425" s="13" t="str">
        <x:v>P006</x:v>
      </x:c>
      <x:c r="E425" s="13" t="str">
        <x:v>GTA West</x:v>
      </x:c>
      <x:c r="F425" s="13" t="str">
        <x:v>Avery</x:v>
      </x:c>
      <x:c r="G425" s="13" t="n">
        <x:v>10</x:v>
      </x:c>
      <x:c r="H425" s="44" t="n">
        <x:v>22.5</x:v>
      </x:c>
      <x:c r="I425" s="38" t="n">
        <x:v>0.05</x:v>
      </x:c>
      <x:c r="J425" s="44" t="n">
        <x:v>213.75</x:v>
      </x:c>
      <x:c r="K425" s="13" t="str">
        <x:v>Completed</x:v>
      </x:c>
    </x:row>
    <x:row r="426">
      <x:c r="A426" s="13" t="str">
        <x:v>O0425</x:v>
      </x:c>
      <x:c r="B426" s="36" t="n">
        <x:v>46168</x:v>
      </x:c>
      <x:c r="C426" s="13" t="str">
        <x:v>C046</x:v>
      </x:c>
      <x:c r="D426" s="13" t="str">
        <x:v>P020</x:v>
      </x:c>
      <x:c r="E426" s="13" t="str">
        <x:v>GTA West</x:v>
      </x:c>
      <x:c r="F426" s="13" t="str">
        <x:v>Riley</x:v>
      </x:c>
      <x:c r="G426" s="13" t="n">
        <x:v>4</x:v>
      </x:c>
      <x:c r="H426" s="44" t="n">
        <x:v>27.83</x:v>
      </x:c>
      <x:c r="I426" s="38" t="n">
        <x:v>0.05</x:v>
      </x:c>
      <x:c r="J426" s="44" t="n">
        <x:v>105.75</x:v>
      </x:c>
      <x:c r="K426" s="13" t="str">
        <x:v>Completed</x:v>
      </x:c>
    </x:row>
    <x:row r="427">
      <x:c r="A427" s="13" t="str">
        <x:v>O0426</x:v>
      </x:c>
      <x:c r="B427" s="36" t="n">
        <x:v>46230</x:v>
      </x:c>
      <x:c r="C427" s="13" t="str">
        <x:v>C108</x:v>
      </x:c>
      <x:c r="D427" s="13" t="str">
        <x:v>P037</x:v>
      </x:c>
      <x:c r="E427" s="13" t="str">
        <x:v>Western Canada</x:v>
      </x:c>
      <x:c r="F427" s="13" t="str">
        <x:v>Casey</x:v>
      </x:c>
      <x:c r="G427" s="13" t="n">
        <x:v>3</x:v>
      </x:c>
      <x:c r="H427" s="44" t="n">
        <x:v>36.84</x:v>
      </x:c>
      <x:c r="I427" s="38" t="n">
        <x:v>0</x:v>
      </x:c>
      <x:c r="J427" s="44" t="n">
        <x:v>110.52</x:v>
      </x:c>
      <x:c r="K427" s="13" t="str">
        <x:v>Completed</x:v>
      </x:c>
    </x:row>
    <x:row r="428">
      <x:c r="A428" s="13" t="str">
        <x:v>O0427</x:v>
      </x:c>
      <x:c r="B428" s="36" t="n">
        <x:v>46261</x:v>
      </x:c>
      <x:c r="C428" s="13" t="str">
        <x:v>C105</x:v>
      </x:c>
      <x:c r="D428" s="13" t="str">
        <x:v>P039</x:v>
      </x:c>
      <x:c r="E428" s="13" t="str">
        <x:v>GTA West</x:v>
      </x:c>
      <x:c r="F428" s="13" t="str">
        <x:v>Casey</x:v>
      </x:c>
      <x:c r="G428" s="13" t="n">
        <x:v>2</x:v>
      </x:c>
      <x:c r="H428" s="44" t="n">
        <x:v>14.42</x:v>
      </x:c>
      <x:c r="I428" s="38" t="n">
        <x:v>0.1</x:v>
      </x:c>
      <x:c r="J428" s="44" t="n">
        <x:v>25.96</x:v>
      </x:c>
      <x:c r="K428" s="13" t="str">
        <x:v>Completed</x:v>
      </x:c>
    </x:row>
    <x:row r="429">
      <x:c r="A429" s="13" t="str">
        <x:v>O0428</x:v>
      </x:c>
      <x:c r="B429" s="36" t="n">
        <x:v>46075</x:v>
      </x:c>
      <x:c r="C429" s="13" t="str">
        <x:v>C088</x:v>
      </x:c>
      <x:c r="D429" s="13" t="str">
        <x:v>P001</x:v>
      </x:c>
      <x:c r="E429" s="13" t="str">
        <x:v>GTA West</x:v>
      </x:c>
      <x:c r="F429" s="13" t="str">
        <x:v>Casey</x:v>
      </x:c>
      <x:c r="G429" s="13" t="n">
        <x:v>7</x:v>
      </x:c>
      <x:c r="H429" s="44" t="n">
        <x:v>12.66</x:v>
      </x:c>
      <x:c r="I429" s="38" t="n">
        <x:v>0</x:v>
      </x:c>
      <x:c r="J429" s="44" t="n">
        <x:v>88.62</x:v>
      </x:c>
      <x:c r="K429" s="13" t="str">
        <x:v>Completed</x:v>
      </x:c>
    </x:row>
    <x:row r="430">
      <x:c r="A430" s="13" t="str">
        <x:v>O0429</x:v>
      </x:c>
      <x:c r="B430" s="36" t="n">
        <x:v>46040</x:v>
      </x:c>
      <x:c r="C430" s="13" t="str">
        <x:v>C110</x:v>
      </x:c>
      <x:c r="D430" s="13" t="str">
        <x:v>P050</x:v>
      </x:c>
      <x:c r="E430" s="13" t="str">
        <x:v>Ottawa</x:v>
      </x:c>
      <x:c r="F430" s="13" t="str">
        <x:v>Riley</x:v>
      </x:c>
      <x:c r="G430" s="13" t="n">
        <x:v>3</x:v>
      </x:c>
      <x:c r="H430" s="44" t="n">
        <x:v>21.74</x:v>
      </x:c>
      <x:c r="I430" s="38" t="n">
        <x:v>0</x:v>
      </x:c>
      <x:c r="J430" s="44" t="n">
        <x:v>65.22</x:v>
      </x:c>
      <x:c r="K430" s="13" t="str">
        <x:v>Completed</x:v>
      </x:c>
    </x:row>
    <x:row r="431">
      <x:c r="A431" s="13" t="str">
        <x:v>O0430</x:v>
      </x:c>
      <x:c r="B431" s="36" t="n">
        <x:v>46243</x:v>
      </x:c>
      <x:c r="C431" s="13" t="str">
        <x:v>C120</x:v>
      </x:c>
      <x:c r="D431" s="13" t="str">
        <x:v>P014</x:v>
      </x:c>
      <x:c r="E431" s="13" t="str">
        <x:v>Toronto</x:v>
      </x:c>
      <x:c r="F431" s="13" t="str">
        <x:v>Morgan</x:v>
      </x:c>
      <x:c r="G431" s="13" t="n">
        <x:v>3</x:v>
      </x:c>
      <x:c r="H431" s="44" t="n">
        <x:v>21.79</x:v>
      </x:c>
      <x:c r="I431" s="38" t="n">
        <x:v>0</x:v>
      </x:c>
      <x:c r="J431" s="44" t="n">
        <x:v>65.37</x:v>
      </x:c>
      <x:c r="K431" s="13" t="str">
        <x:v>Completed</x:v>
      </x:c>
    </x:row>
    <x:row r="432">
      <x:c r="A432" s="13" t="str">
        <x:v>O0431</x:v>
      </x:c>
      <x:c r="B432" s="36" t="n">
        <x:v>46191</x:v>
      </x:c>
      <x:c r="C432" s="13" t="str">
        <x:v>C062</x:v>
      </x:c>
      <x:c r="D432" s="13" t="str">
        <x:v>P019</x:v>
      </x:c>
      <x:c r="E432" s="13" t="str">
        <x:v>Western Canada</x:v>
      </x:c>
      <x:c r="F432" s="13" t="str">
        <x:v>Morgan</x:v>
      </x:c>
      <x:c r="G432" s="13" t="n">
        <x:v>4</x:v>
      </x:c>
      <x:c r="H432" s="44" t="n">
        <x:v>30.91</x:v>
      </x:c>
      <x:c r="I432" s="38" t="n">
        <x:v>0.1</x:v>
      </x:c>
      <x:c r="J432" s="44" t="n">
        <x:v>111.28</x:v>
      </x:c>
      <x:c r="K432" s="13" t="str">
        <x:v>Completed</x:v>
      </x:c>
    </x:row>
    <x:row r="433">
      <x:c r="A433" s="13" t="str">
        <x:v>O0432</x:v>
      </x:c>
      <x:c r="B433" s="36" t="n">
        <x:v>46237</x:v>
      </x:c>
      <x:c r="C433" s="13" t="str">
        <x:v>C123</x:v>
      </x:c>
      <x:c r="D433" s="13" t="str">
        <x:v>P052</x:v>
      </x:c>
      <x:c r="E433" s="13" t="str">
        <x:v>GTA West</x:v>
      </x:c>
      <x:c r="F433" s="13" t="str">
        <x:v>Avery</x:v>
      </x:c>
      <x:c r="G433" s="13" t="n">
        <x:v>1</x:v>
      </x:c>
      <x:c r="H433" s="44" t="n">
        <x:v>22.35</x:v>
      </x:c>
      <x:c r="I433" s="38" t="n">
        <x:v>0</x:v>
      </x:c>
      <x:c r="J433" s="44" t="n">
        <x:v>22.35</x:v>
      </x:c>
      <x:c r="K433" s="13" t="str">
        <x:v>Pending</x:v>
      </x:c>
    </x:row>
    <x:row r="434">
      <x:c r="A434" s="13" t="str">
        <x:v>O0433</x:v>
      </x:c>
      <x:c r="B434" s="36" t="n">
        <x:v>46254</x:v>
      </x:c>
      <x:c r="C434" s="13" t="str">
        <x:v>C074</x:v>
      </x:c>
      <x:c r="D434" s="13" t="str">
        <x:v>P008</x:v>
      </x:c>
      <x:c r="E434" s="13" t="str">
        <x:v>Toronto</x:v>
      </x:c>
      <x:c r="F434" s="13" t="str">
        <x:v>Jordan</x:v>
      </x:c>
      <x:c r="G434" s="13" t="n">
        <x:v>9</x:v>
      </x:c>
      <x:c r="H434" s="44" t="n">
        <x:v>24.86</x:v>
      </x:c>
      <x:c r="I434" s="38" t="n">
        <x:v>0</x:v>
      </x:c>
      <x:c r="J434" s="44" t="n">
        <x:v>223.74</x:v>
      </x:c>
      <x:c r="K434" s="13" t="str">
        <x:v>Pending</x:v>
      </x:c>
    </x:row>
    <x:row r="435">
      <x:c r="A435" s="13" t="str">
        <x:v>O0434</x:v>
      </x:c>
      <x:c r="B435" s="36" t="n">
        <x:v>46086</x:v>
      </x:c>
      <x:c r="C435" s="13" t="str">
        <x:v>C003</x:v>
      </x:c>
      <x:c r="D435" s="13" t="str">
        <x:v>P040</x:v>
      </x:c>
      <x:c r="E435" s="13" t="str">
        <x:v>Western Canada</x:v>
      </x:c>
      <x:c r="F435" s="13" t="str">
        <x:v>Jordan</x:v>
      </x:c>
      <x:c r="G435" s="13" t="n">
        <x:v>7</x:v>
      </x:c>
      <x:c r="H435" s="44" t="n">
        <x:v>15.6</x:v>
      </x:c>
      <x:c r="I435" s="38" t="n">
        <x:v>0</x:v>
      </x:c>
      <x:c r="J435" s="44" t="n">
        <x:v>109.2</x:v>
      </x:c>
      <x:c r="K435" s="13" t="str">
        <x:v>Completed</x:v>
      </x:c>
    </x:row>
    <x:row r="436">
      <x:c r="A436" s="13" t="str">
        <x:v>O0435</x:v>
      </x:c>
      <x:c r="B436" s="36" t="n">
        <x:v>46080</x:v>
      </x:c>
      <x:c r="C436" s="13" t="str">
        <x:v>C140</x:v>
      </x:c>
      <x:c r="D436" s="13" t="str">
        <x:v>P057</x:v>
      </x:c>
      <x:c r="E436" s="13" t="str">
        <x:v>Ottawa</x:v>
      </x:c>
      <x:c r="F436" s="13" t="str">
        <x:v>Avery</x:v>
      </x:c>
      <x:c r="G436" s="13" t="n">
        <x:v>9</x:v>
      </x:c>
      <x:c r="H436" s="44" t="n">
        <x:v>16.91</x:v>
      </x:c>
      <x:c r="I436" s="38" t="n">
        <x:v>0</x:v>
      </x:c>
      <x:c r="J436" s="44" t="n">
        <x:v>152.19</x:v>
      </x:c>
      <x:c r="K436" s="13" t="str">
        <x:v>Completed</x:v>
      </x:c>
    </x:row>
    <x:row r="437">
      <x:c r="A437" s="13" t="str">
        <x:v>O0436</x:v>
      </x:c>
      <x:c r="B437" s="36" t="n">
        <x:v>46230</x:v>
      </x:c>
      <x:c r="C437" s="13" t="str">
        <x:v>C076</x:v>
      </x:c>
      <x:c r="D437" s="13" t="str">
        <x:v>P051</x:v>
      </x:c>
      <x:c r="E437" s="13" t="str">
        <x:v>GTA West</x:v>
      </x:c>
      <x:c r="F437" s="13" t="str">
        <x:v>Taylor</x:v>
      </x:c>
      <x:c r="G437" s="13" t="n">
        <x:v>10</x:v>
      </x:c>
      <x:c r="H437" s="44" t="n">
        <x:v>33.88</x:v>
      </x:c>
      <x:c r="I437" s="38" t="n">
        <x:v>0</x:v>
      </x:c>
      <x:c r="J437" s="44" t="n">
        <x:v>338.8</x:v>
      </x:c>
      <x:c r="K437" s="13" t="str">
        <x:v>Completed</x:v>
      </x:c>
    </x:row>
    <x:row r="438">
      <x:c r="A438" s="13" t="str">
        <x:v>O0437</x:v>
      </x:c>
      <x:c r="B438" s="36" t="n">
        <x:v>46252</x:v>
      </x:c>
      <x:c r="C438" s="13" t="str">
        <x:v>C048</x:v>
      </x:c>
      <x:c r="D438" s="13" t="str">
        <x:v>P034</x:v>
      </x:c>
      <x:c r="E438" s="13" t="str">
        <x:v>Toronto</x:v>
      </x:c>
      <x:c r="F438" s="13" t="str">
        <x:v>Taylor</x:v>
      </x:c>
      <x:c r="G438" s="13" t="n">
        <x:v>1</x:v>
      </x:c>
      <x:c r="H438" s="44" t="n">
        <x:v>14.68</x:v>
      </x:c>
      <x:c r="I438" s="38" t="n">
        <x:v>0.1</x:v>
      </x:c>
      <x:c r="J438" s="44" t="n">
        <x:v>13.21</x:v>
      </x:c>
      <x:c r="K438" s="13" t="str">
        <x:v>Completed</x:v>
      </x:c>
    </x:row>
    <x:row r="439">
      <x:c r="A439" s="13" t="str">
        <x:v>O0438</x:v>
      </x:c>
      <x:c r="B439" s="36" t="n">
        <x:v>46238</x:v>
      </x:c>
      <x:c r="C439" s="13" t="str">
        <x:v>C012</x:v>
      </x:c>
      <x:c r="D439" s="13" t="str">
        <x:v>P046</x:v>
      </x:c>
      <x:c r="E439" s="13" t="str">
        <x:v>Ottawa</x:v>
      </x:c>
      <x:c r="F439" s="13" t="str">
        <x:v>Taylor</x:v>
      </x:c>
      <x:c r="G439" s="13" t="n">
        <x:v>1</x:v>
      </x:c>
      <x:c r="H439" s="44" t="n">
        <x:v>15.24</x:v>
      </x:c>
      <x:c r="I439" s="38" t="n">
        <x:v>0</x:v>
      </x:c>
      <x:c r="J439" s="44" t="n">
        <x:v>15.24</x:v>
      </x:c>
      <x:c r="K439" s="13" t="str">
        <x:v>Pending</x:v>
      </x:c>
    </x:row>
    <x:row r="440">
      <x:c r="A440" s="13" t="str">
        <x:v>O0439</x:v>
      </x:c>
      <x:c r="B440" s="36" t="n">
        <x:v>46174</x:v>
      </x:c>
      <x:c r="C440" s="13" t="str">
        <x:v>C021</x:v>
      </x:c>
      <x:c r="D440" s="13" t="str">
        <x:v>P027</x:v>
      </x:c>
      <x:c r="E440" s="13" t="str">
        <x:v>Southwestern ON</x:v>
      </x:c>
      <x:c r="F440" s="13" t="str">
        <x:v>Jordan</x:v>
      </x:c>
      <x:c r="G440" s="13" t="n">
        <x:v>9</x:v>
      </x:c>
      <x:c r="H440" s="44" t="n">
        <x:v>22.33</x:v>
      </x:c>
      <x:c r="I440" s="38" t="n">
        <x:v>0</x:v>
      </x:c>
      <x:c r="J440" s="44" t="n">
        <x:v>200.97</x:v>
      </x:c>
      <x:c r="K440" s="13" t="str">
        <x:v>Completed</x:v>
      </x:c>
    </x:row>
    <x:row r="441">
      <x:c r="A441" s="13" t="str">
        <x:v>O0440</x:v>
      </x:c>
      <x:c r="B441" s="36" t="n">
        <x:v>46192</x:v>
      </x:c>
      <x:c r="C441" s="13" t="str">
        <x:v>C077</x:v>
      </x:c>
      <x:c r="D441" s="13" t="str">
        <x:v>P071</x:v>
      </x:c>
      <x:c r="E441" s="13" t="str">
        <x:v>Toronto</x:v>
      </x:c>
      <x:c r="F441" s="13" t="str">
        <x:v>Avery</x:v>
      </x:c>
      <x:c r="G441" s="13" t="n">
        <x:v>9</x:v>
      </x:c>
      <x:c r="H441" s="44" t="n">
        <x:v>66.69</x:v>
      </x:c>
      <x:c r="I441" s="38" t="n">
        <x:v>0</x:v>
      </x:c>
      <x:c r="J441" s="44" t="n">
        <x:v>600.21</x:v>
      </x:c>
      <x:c r="K441" s="13" t="str">
        <x:v>Pending</x:v>
      </x:c>
    </x:row>
    <x:row r="442">
      <x:c r="A442" s="13" t="str">
        <x:v>O0441</x:v>
      </x:c>
      <x:c r="B442" s="36" t="n">
        <x:v>46115</x:v>
      </x:c>
      <x:c r="C442" s="13" t="str">
        <x:v>C118</x:v>
      </x:c>
      <x:c r="D442" s="13" t="str">
        <x:v>P059</x:v>
      </x:c>
      <x:c r="E442" s="13" t="str">
        <x:v>Toronto</x:v>
      </x:c>
      <x:c r="F442" s="13" t="str">
        <x:v>Riley</x:v>
      </x:c>
      <x:c r="G442" s="13" t="n">
        <x:v>12</x:v>
      </x:c>
      <x:c r="H442" s="44" t="n">
        <x:v>25.22</x:v>
      </x:c>
      <x:c r="I442" s="38" t="n">
        <x:v>0.05</x:v>
      </x:c>
      <x:c r="J442" s="44" t="n">
        <x:v>287.51</x:v>
      </x:c>
      <x:c r="K442" s="13" t="str">
        <x:v>Completed</x:v>
      </x:c>
    </x:row>
    <x:row r="443">
      <x:c r="A443" s="13" t="str">
        <x:v>O0442</x:v>
      </x:c>
      <x:c r="B443" s="36" t="n">
        <x:v>46108</x:v>
      </x:c>
      <x:c r="C443" s="13" t="str">
        <x:v>C079</x:v>
      </x:c>
      <x:c r="D443" s="13" t="str">
        <x:v>P061</x:v>
      </x:c>
      <x:c r="E443" s="13" t="str">
        <x:v>Ottawa</x:v>
      </x:c>
      <x:c r="F443" s="13" t="str">
        <x:v>Taylor</x:v>
      </x:c>
      <x:c r="G443" s="13" t="n">
        <x:v>4</x:v>
      </x:c>
      <x:c r="H443" s="44" t="n">
        <x:v>40.29</x:v>
      </x:c>
      <x:c r="I443" s="38" t="n">
        <x:v>0.15</x:v>
      </x:c>
      <x:c r="J443" s="44" t="n">
        <x:v>136.99</x:v>
      </x:c>
      <x:c r="K443" s="13" t="str">
        <x:v>Completed</x:v>
      </x:c>
    </x:row>
    <x:row r="444">
      <x:c r="A444" s="13" t="str">
        <x:v>O0443</x:v>
      </x:c>
      <x:c r="B444" s="36" t="n">
        <x:v>46101</x:v>
      </x:c>
      <x:c r="C444" s="13" t="str">
        <x:v>C081</x:v>
      </x:c>
      <x:c r="D444" s="13" t="str">
        <x:v>P050</x:v>
      </x:c>
      <x:c r="E444" s="13" t="str">
        <x:v>GTA West</x:v>
      </x:c>
      <x:c r="F444" s="13" t="str">
        <x:v>Avery</x:v>
      </x:c>
      <x:c r="G444" s="13" t="n">
        <x:v>11</x:v>
      </x:c>
      <x:c r="H444" s="44" t="n">
        <x:v>21.74</x:v>
      </x:c>
      <x:c r="I444" s="38" t="n">
        <x:v>0</x:v>
      </x:c>
      <x:c r="J444" s="44" t="n">
        <x:v>239.14</x:v>
      </x:c>
      <x:c r="K444" s="13" t="str">
        <x:v>Completed</x:v>
      </x:c>
    </x:row>
    <x:row r="445">
      <x:c r="A445" s="13" t="str">
        <x:v>O0444</x:v>
      </x:c>
      <x:c r="B445" s="36" t="n">
        <x:v>46128</x:v>
      </x:c>
      <x:c r="C445" s="13" t="str">
        <x:v>C079</x:v>
      </x:c>
      <x:c r="D445" s="13" t="str">
        <x:v>P051</x:v>
      </x:c>
      <x:c r="E445" s="13" t="str">
        <x:v>Western Canada</x:v>
      </x:c>
      <x:c r="F445" s="13" t="str">
        <x:v>Riley</x:v>
      </x:c>
      <x:c r="G445" s="13" t="n">
        <x:v>10</x:v>
      </x:c>
      <x:c r="H445" s="44" t="n">
        <x:v>33.88</x:v>
      </x:c>
      <x:c r="I445" s="38" t="n">
        <x:v>0.05</x:v>
      </x:c>
      <x:c r="J445" s="44" t="n">
        <x:v>321.86</x:v>
      </x:c>
      <x:c r="K445" s="13" t="str">
        <x:v>Completed</x:v>
      </x:c>
    </x:row>
    <x:row r="446">
      <x:c r="A446" s="13" t="str">
        <x:v>O0445</x:v>
      </x:c>
      <x:c r="B446" s="36" t="n">
        <x:v>46134</x:v>
      </x:c>
      <x:c r="C446" s="13" t="str">
        <x:v>C013</x:v>
      </x:c>
      <x:c r="D446" s="13" t="str">
        <x:v>P020</x:v>
      </x:c>
      <x:c r="E446" s="13" t="str">
        <x:v>Ottawa</x:v>
      </x:c>
      <x:c r="F446" s="13" t="str">
        <x:v>Riley</x:v>
      </x:c>
      <x:c r="G446" s="13" t="n">
        <x:v>7</x:v>
      </x:c>
      <x:c r="H446" s="44" t="n">
        <x:v>27.83</x:v>
      </x:c>
      <x:c r="I446" s="38" t="n">
        <x:v>0.1</x:v>
      </x:c>
      <x:c r="J446" s="44" t="n">
        <x:v>175.33</x:v>
      </x:c>
      <x:c r="K446" s="13" t="str">
        <x:v>Pending</x:v>
      </x:c>
    </x:row>
    <x:row r="447">
      <x:c r="A447" s="13" t="str">
        <x:v>O0446</x:v>
      </x:c>
      <x:c r="B447" s="36" t="n">
        <x:v>46086</x:v>
      </x:c>
      <x:c r="C447" s="13" t="str">
        <x:v>C100</x:v>
      </x:c>
      <x:c r="D447" s="13" t="str">
        <x:v>P021</x:v>
      </x:c>
      <x:c r="E447" s="13" t="str">
        <x:v>Southwestern ON</x:v>
      </x:c>
      <x:c r="F447" s="13" t="str">
        <x:v>Jordan</x:v>
      </x:c>
      <x:c r="G447" s="13" t="n">
        <x:v>1</x:v>
      </x:c>
      <x:c r="H447" s="44" t="n">
        <x:v>33.53</x:v>
      </x:c>
      <x:c r="I447" s="38" t="n">
        <x:v>0.1</x:v>
      </x:c>
      <x:c r="J447" s="44" t="n">
        <x:v>30.18</x:v>
      </x:c>
      <x:c r="K447" s="13" t="str">
        <x:v>Completed</x:v>
      </x:c>
    </x:row>
    <x:row r="448">
      <x:c r="A448" s="13" t="str">
        <x:v>O0447</x:v>
      </x:c>
      <x:c r="B448" s="36" t="n">
        <x:v>46235</x:v>
      </x:c>
      <x:c r="C448" s="13" t="str">
        <x:v>C046</x:v>
      </x:c>
      <x:c r="D448" s="13" t="str">
        <x:v>P043</x:v>
      </x:c>
      <x:c r="E448" s="13" t="str">
        <x:v>Ottawa</x:v>
      </x:c>
      <x:c r="F448" s="13" t="str">
        <x:v>Riley</x:v>
      </x:c>
      <x:c r="G448" s="13" t="n">
        <x:v>11</x:v>
      </x:c>
      <x:c r="H448" s="44" t="n">
        <x:v>38.14</x:v>
      </x:c>
      <x:c r="I448" s="38" t="n">
        <x:v>0.1</x:v>
      </x:c>
      <x:c r="J448" s="44" t="n">
        <x:v>377.59</x:v>
      </x:c>
      <x:c r="K448" s="13" t="str">
        <x:v>Pending</x:v>
      </x:c>
    </x:row>
    <x:row r="449">
      <x:c r="A449" s="13" t="str">
        <x:v>O0448</x:v>
      </x:c>
      <x:c r="B449" s="36" t="n">
        <x:v>46263</x:v>
      </x:c>
      <x:c r="C449" s="13" t="str">
        <x:v>C124</x:v>
      </x:c>
      <x:c r="D449" s="13" t="str">
        <x:v>P057</x:v>
      </x:c>
      <x:c r="E449" s="13" t="str">
        <x:v>Southwestern ON</x:v>
      </x:c>
      <x:c r="F449" s="13" t="str">
        <x:v>Avery</x:v>
      </x:c>
      <x:c r="G449" s="13" t="n">
        <x:v>2</x:v>
      </x:c>
      <x:c r="H449" s="44" t="n">
        <x:v>16.91</x:v>
      </x:c>
      <x:c r="I449" s="38" t="n">
        <x:v>0</x:v>
      </x:c>
      <x:c r="J449" s="44" t="n">
        <x:v>33.82</x:v>
      </x:c>
      <x:c r="K449" s="13" t="str">
        <x:v>Completed</x:v>
      </x:c>
    </x:row>
    <x:row r="450">
      <x:c r="A450" s="13" t="str">
        <x:v>O0449</x:v>
      </x:c>
      <x:c r="B450" s="36" t="n">
        <x:v>46061</x:v>
      </x:c>
      <x:c r="C450" s="13" t="str">
        <x:v>C003</x:v>
      </x:c>
      <x:c r="D450" s="13" t="str">
        <x:v>P070</x:v>
      </x:c>
      <x:c r="E450" s="13" t="str">
        <x:v>Southwestern ON</x:v>
      </x:c>
      <x:c r="F450" s="13" t="str">
        <x:v>Taylor</x:v>
      </x:c>
      <x:c r="G450" s="13" t="n">
        <x:v>7</x:v>
      </x:c>
      <x:c r="H450" s="44" t="n">
        <x:v>36.65</x:v>
      </x:c>
      <x:c r="I450" s="38" t="n">
        <x:v>0</x:v>
      </x:c>
      <x:c r="J450" s="44" t="n">
        <x:v>256.55</x:v>
      </x:c>
      <x:c r="K450" s="13" t="str">
        <x:v>Completed</x:v>
      </x:c>
    </x:row>
    <x:row r="451">
      <x:c r="A451" s="13" t="str">
        <x:v>O0450</x:v>
      </x:c>
      <x:c r="B451" s="36" t="n">
        <x:v>46076</x:v>
      </x:c>
      <x:c r="C451" s="13" t="str">
        <x:v>C118</x:v>
      </x:c>
      <x:c r="D451" s="13" t="str">
        <x:v>P025</x:v>
      </x:c>
      <x:c r="E451" s="13" t="str">
        <x:v>Toronto</x:v>
      </x:c>
      <x:c r="F451" s="13" t="str">
        <x:v>Riley</x:v>
      </x:c>
      <x:c r="G451" s="13" t="n">
        <x:v>8</x:v>
      </x:c>
      <x:c r="H451" s="44" t="n">
        <x:v>23.27</x:v>
      </x:c>
      <x:c r="I451" s="38" t="n">
        <x:v>0.05</x:v>
      </x:c>
      <x:c r="J451" s="44" t="n">
        <x:v>176.85</x:v>
      </x:c>
      <x:c r="K451" s="13" t="str">
        <x:v>Cancelled</x:v>
      </x:c>
    </x:row>
    <x:row r="452">
      <x:c r="A452" s="13" t="str">
        <x:v>O0451</x:v>
      </x:c>
      <x:c r="B452" s="36" t="n">
        <x:v>46228</x:v>
      </x:c>
      <x:c r="C452" s="13" t="str">
        <x:v>C026</x:v>
      </x:c>
      <x:c r="D452" s="13" t="str">
        <x:v>P036</x:v>
      </x:c>
      <x:c r="E452" s="13" t="str">
        <x:v>Ottawa</x:v>
      </x:c>
      <x:c r="F452" s="13" t="str">
        <x:v>Casey</x:v>
      </x:c>
      <x:c r="G452" s="13" t="n">
        <x:v>9</x:v>
      </x:c>
      <x:c r="H452" s="44" t="n">
        <x:v>24.04</x:v>
      </x:c>
      <x:c r="I452" s="38" t="n">
        <x:v>0</x:v>
      </x:c>
      <x:c r="J452" s="44" t="n">
        <x:v>216.36</x:v>
      </x:c>
      <x:c r="K452" s="13" t="str">
        <x:v>Completed</x:v>
      </x:c>
    </x:row>
    <x:row r="453">
      <x:c r="A453" s="13" t="str">
        <x:v>O0452</x:v>
      </x:c>
      <x:c r="B453" s="36" t="n">
        <x:v>46166</x:v>
      </x:c>
      <x:c r="C453" s="13" t="str">
        <x:v>C137</x:v>
      </x:c>
      <x:c r="D453" s="13" t="str">
        <x:v>P001</x:v>
      </x:c>
      <x:c r="E453" s="13" t="str">
        <x:v>Southwestern ON</x:v>
      </x:c>
      <x:c r="F453" s="13" t="str">
        <x:v>Morgan</x:v>
      </x:c>
      <x:c r="G453" s="13" t="n">
        <x:v>1</x:v>
      </x:c>
      <x:c r="H453" s="44" t="n">
        <x:v>12.66</x:v>
      </x:c>
      <x:c r="I453" s="38" t="n">
        <x:v>0.05</x:v>
      </x:c>
      <x:c r="J453" s="44" t="n">
        <x:v>12.03</x:v>
      </x:c>
      <x:c r="K453" s="13" t="str">
        <x:v>Completed</x:v>
      </x:c>
    </x:row>
    <x:row r="454">
      <x:c r="A454" s="13" t="str">
        <x:v>O0453</x:v>
      </x:c>
      <x:c r="B454" s="36" t="n">
        <x:v>46149</x:v>
      </x:c>
      <x:c r="C454" s="13" t="str">
        <x:v>C009</x:v>
      </x:c>
      <x:c r="D454" s="13" t="str">
        <x:v>P017</x:v>
      </x:c>
      <x:c r="E454" s="13" t="str">
        <x:v>Southwestern ON</x:v>
      </x:c>
      <x:c r="F454" s="13" t="str">
        <x:v>Morgan</x:v>
      </x:c>
      <x:c r="G454" s="13" t="n">
        <x:v>12</x:v>
      </x:c>
      <x:c r="H454" s="44" t="n">
        <x:v>10.74</x:v>
      </x:c>
      <x:c r="I454" s="38" t="n">
        <x:v>0</x:v>
      </x:c>
      <x:c r="J454" s="44" t="n">
        <x:v>128.88</x:v>
      </x:c>
      <x:c r="K454" s="13" t="str">
        <x:v>Completed</x:v>
      </x:c>
    </x:row>
    <x:row r="455">
      <x:c r="A455" s="13" t="str">
        <x:v>O0454</x:v>
      </x:c>
      <x:c r="B455" s="36" t="n">
        <x:v>46136</x:v>
      </x:c>
      <x:c r="C455" s="13" t="str">
        <x:v>C095</x:v>
      </x:c>
      <x:c r="D455" s="13" t="str">
        <x:v>P057</x:v>
      </x:c>
      <x:c r="E455" s="13" t="str">
        <x:v>Ottawa</x:v>
      </x:c>
      <x:c r="F455" s="13" t="str">
        <x:v>Riley</x:v>
      </x:c>
      <x:c r="G455" s="13" t="n">
        <x:v>10</x:v>
      </x:c>
      <x:c r="H455" s="44" t="n">
        <x:v>16.91</x:v>
      </x:c>
      <x:c r="I455" s="38" t="n">
        <x:v>0.1</x:v>
      </x:c>
      <x:c r="J455" s="44" t="n">
        <x:v>152.19</x:v>
      </x:c>
      <x:c r="K455" s="13" t="str">
        <x:v>Cancelled</x:v>
      </x:c>
    </x:row>
    <x:row r="456">
      <x:c r="A456" s="13" t="str">
        <x:v>O0455</x:v>
      </x:c>
      <x:c r="B456" s="36" t="n">
        <x:v>46232</x:v>
      </x:c>
      <x:c r="C456" s="13" t="str">
        <x:v>C080</x:v>
      </x:c>
      <x:c r="D456" s="13" t="str">
        <x:v>P068</x:v>
      </x:c>
      <x:c r="E456" s="13" t="str">
        <x:v>Western Canada</x:v>
      </x:c>
      <x:c r="F456" s="13" t="str">
        <x:v>Morgan</x:v>
      </x:c>
      <x:c r="G456" s="13" t="n">
        <x:v>3</x:v>
      </x:c>
      <x:c r="H456" s="44" t="n">
        <x:v>50.69</x:v>
      </x:c>
      <x:c r="I456" s="38" t="n">
        <x:v>0.05</x:v>
      </x:c>
      <x:c r="J456" s="44" t="n">
        <x:v>144.47</x:v>
      </x:c>
      <x:c r="K456" s="13" t="str">
        <x:v>Completed</x:v>
      </x:c>
    </x:row>
    <x:row r="457">
      <x:c r="A457" s="13" t="str">
        <x:v>O0456</x:v>
      </x:c>
      <x:c r="B457" s="36" t="n">
        <x:v>46126</x:v>
      </x:c>
      <x:c r="C457" s="13" t="str">
        <x:v>C125</x:v>
      </x:c>
      <x:c r="D457" s="13" t="str">
        <x:v>P023</x:v>
      </x:c>
      <x:c r="E457" s="13" t="str">
        <x:v>Toronto</x:v>
      </x:c>
      <x:c r="F457" s="13" t="str">
        <x:v>Avery</x:v>
      </x:c>
      <x:c r="G457" s="13" t="n">
        <x:v>3</x:v>
      </x:c>
      <x:c r="H457" s="44" t="n">
        <x:v>27.81</x:v>
      </x:c>
      <x:c r="I457" s="38" t="n">
        <x:v>0</x:v>
      </x:c>
      <x:c r="J457" s="44" t="n">
        <x:v>83.43</x:v>
      </x:c>
      <x:c r="K457" s="13" t="str">
        <x:v>Completed</x:v>
      </x:c>
    </x:row>
    <x:row r="458">
      <x:c r="A458" s="13" t="str">
        <x:v>O0457</x:v>
      </x:c>
      <x:c r="B458" s="36" t="n">
        <x:v>46153</x:v>
      </x:c>
      <x:c r="C458" s="13" t="str">
        <x:v>C024</x:v>
      </x:c>
      <x:c r="D458" s="13" t="str">
        <x:v>P042</x:v>
      </x:c>
      <x:c r="E458" s="13" t="str">
        <x:v>GTA West</x:v>
      </x:c>
      <x:c r="F458" s="13" t="str">
        <x:v>Morgan</x:v>
      </x:c>
      <x:c r="G458" s="13" t="n">
        <x:v>7</x:v>
      </x:c>
      <x:c r="H458" s="44" t="n">
        <x:v>26.28</x:v>
      </x:c>
      <x:c r="I458" s="38" t="n">
        <x:v>0.1</x:v>
      </x:c>
      <x:c r="J458" s="44" t="n">
        <x:v>165.56</x:v>
      </x:c>
      <x:c r="K458" s="13" t="str">
        <x:v>Completed</x:v>
      </x:c>
    </x:row>
    <x:row r="459">
      <x:c r="A459" s="13" t="str">
        <x:v>O0458</x:v>
      </x:c>
      <x:c r="B459" s="36" t="n">
        <x:v>46211</x:v>
      </x:c>
      <x:c r="C459" s="13" t="str">
        <x:v>C027</x:v>
      </x:c>
      <x:c r="D459" s="13" t="str">
        <x:v>P042</x:v>
      </x:c>
      <x:c r="E459" s="13" t="str">
        <x:v>Western Canada</x:v>
      </x:c>
      <x:c r="F459" s="13" t="str">
        <x:v>Jordan</x:v>
      </x:c>
      <x:c r="G459" s="13" t="n">
        <x:v>2</x:v>
      </x:c>
      <x:c r="H459" s="44" t="n">
        <x:v>26.28</x:v>
      </x:c>
      <x:c r="I459" s="38" t="n">
        <x:v>0</x:v>
      </x:c>
      <x:c r="J459" s="44" t="n">
        <x:v>52.56</x:v>
      </x:c>
      <x:c r="K459" s="13" t="str">
        <x:v>Pending</x:v>
      </x:c>
    </x:row>
    <x:row r="460">
      <x:c r="A460" s="13" t="str">
        <x:v>O0459</x:v>
      </x:c>
      <x:c r="B460" s="36" t="n">
        <x:v>46181</x:v>
      </x:c>
      <x:c r="C460" s="13" t="str">
        <x:v>C076</x:v>
      </x:c>
      <x:c r="D460" s="13" t="str">
        <x:v>P067</x:v>
      </x:c>
      <x:c r="E460" s="13" t="str">
        <x:v>Southwestern ON</x:v>
      </x:c>
      <x:c r="F460" s="13" t="str">
        <x:v>Riley</x:v>
      </x:c>
      <x:c r="G460" s="13" t="n">
        <x:v>6</x:v>
      </x:c>
      <x:c r="H460" s="44" t="n">
        <x:v>39.47</x:v>
      </x:c>
      <x:c r="I460" s="38" t="n">
        <x:v>0</x:v>
      </x:c>
      <x:c r="J460" s="44" t="n">
        <x:v>236.82</x:v>
      </x:c>
      <x:c r="K460" s="13" t="str">
        <x:v>Completed</x:v>
      </x:c>
    </x:row>
    <x:row r="461">
      <x:c r="A461" s="13" t="str">
        <x:v>O0460</x:v>
      </x:c>
      <x:c r="B461" s="36" t="n">
        <x:v>46136</x:v>
      </x:c>
      <x:c r="C461" s="13" t="str">
        <x:v>C007</x:v>
      </x:c>
      <x:c r="D461" s="13" t="str">
        <x:v>P011</x:v>
      </x:c>
      <x:c r="E461" s="13" t="str">
        <x:v>GTA West</x:v>
      </x:c>
      <x:c r="F461" s="13" t="str">
        <x:v>Avery</x:v>
      </x:c>
      <x:c r="G461" s="13" t="n">
        <x:v>12</x:v>
      </x:c>
      <x:c r="H461" s="44" t="n">
        <x:v>32.78</x:v>
      </x:c>
      <x:c r="I461" s="38" t="n">
        <x:v>0</x:v>
      </x:c>
      <x:c r="J461" s="44" t="n">
        <x:v>393.36</x:v>
      </x:c>
      <x:c r="K461" s="13" t="str">
        <x:v>Completed</x:v>
      </x:c>
    </x:row>
    <x:row r="462">
      <x:c r="A462" s="13" t="str">
        <x:v>O0461</x:v>
      </x:c>
      <x:c r="B462" s="36" t="n">
        <x:v>46031</x:v>
      </x:c>
      <x:c r="C462" s="13" t="str">
        <x:v>C136</x:v>
      </x:c>
      <x:c r="D462" s="13" t="str">
        <x:v>P042</x:v>
      </x:c>
      <x:c r="E462" s="13" t="str">
        <x:v>Southwestern ON</x:v>
      </x:c>
      <x:c r="F462" s="13" t="str">
        <x:v>Taylor</x:v>
      </x:c>
      <x:c r="G462" s="13" t="n">
        <x:v>9</x:v>
      </x:c>
      <x:c r="H462" s="44" t="n">
        <x:v>26.28</x:v>
      </x:c>
      <x:c r="I462" s="38" t="n">
        <x:v>0.15</x:v>
      </x:c>
      <x:c r="J462" s="44" t="n">
        <x:v>201.04</x:v>
      </x:c>
      <x:c r="K462" s="13" t="str">
        <x:v>Completed</x:v>
      </x:c>
    </x:row>
    <x:row r="463">
      <x:c r="A463" s="13" t="str">
        <x:v>O0462</x:v>
      </x:c>
      <x:c r="B463" s="36" t="n">
        <x:v>46184</x:v>
      </x:c>
      <x:c r="C463" s="13" t="str">
        <x:v>C055</x:v>
      </x:c>
      <x:c r="D463" s="13" t="str">
        <x:v>P063</x:v>
      </x:c>
      <x:c r="E463" s="13" t="str">
        <x:v>GTA West</x:v>
      </x:c>
      <x:c r="F463" s="13" t="str">
        <x:v>Avery</x:v>
      </x:c>
      <x:c r="G463" s="13" t="n">
        <x:v>1</x:v>
      </x:c>
      <x:c r="H463" s="44" t="n">
        <x:v>85.92</x:v>
      </x:c>
      <x:c r="I463" s="38" t="n">
        <x:v>0.1</x:v>
      </x:c>
      <x:c r="J463" s="44" t="n">
        <x:v>77.33</x:v>
      </x:c>
      <x:c r="K463" s="13" t="str">
        <x:v>Completed</x:v>
      </x:c>
    </x:row>
    <x:row r="464">
      <x:c r="A464" s="13" t="str">
        <x:v>O0463</x:v>
      </x:c>
      <x:c r="B464" s="36" t="n">
        <x:v>46235</x:v>
      </x:c>
      <x:c r="C464" s="13" t="str">
        <x:v>C053</x:v>
      </x:c>
      <x:c r="D464" s="13" t="str">
        <x:v>P049</x:v>
      </x:c>
      <x:c r="E464" s="13" t="str">
        <x:v>Western Canada</x:v>
      </x:c>
      <x:c r="F464" s="13" t="str">
        <x:v>Jordan</x:v>
      </x:c>
      <x:c r="G464" s="13" t="n">
        <x:v>7</x:v>
      </x:c>
      <x:c r="H464" s="44" t="n">
        <x:v>28.04</x:v>
      </x:c>
      <x:c r="I464" s="38" t="n">
        <x:v>0</x:v>
      </x:c>
      <x:c r="J464" s="44" t="n">
        <x:v>196.28</x:v>
      </x:c>
      <x:c r="K464" s="13" t="str">
        <x:v>Completed</x:v>
      </x:c>
    </x:row>
    <x:row r="465">
      <x:c r="A465" s="13" t="str">
        <x:v>O0464</x:v>
      </x:c>
      <x:c r="B465" s="36" t="n">
        <x:v>46237</x:v>
      </x:c>
      <x:c r="C465" s="13" t="str">
        <x:v>C070</x:v>
      </x:c>
      <x:c r="D465" s="13" t="str">
        <x:v>P071</x:v>
      </x:c>
      <x:c r="E465" s="13" t="str">
        <x:v>GTA West</x:v>
      </x:c>
      <x:c r="F465" s="13" t="str">
        <x:v>Jordan</x:v>
      </x:c>
      <x:c r="G465" s="13" t="n">
        <x:v>6</x:v>
      </x:c>
      <x:c r="H465" s="44" t="n">
        <x:v>66.69</x:v>
      </x:c>
      <x:c r="I465" s="38" t="n">
        <x:v>0</x:v>
      </x:c>
      <x:c r="J465" s="44" t="n">
        <x:v>400.14</x:v>
      </x:c>
      <x:c r="K465" s="13" t="str">
        <x:v>Completed</x:v>
      </x:c>
    </x:row>
    <x:row r="466">
      <x:c r="A466" s="13" t="str">
        <x:v>O0465</x:v>
      </x:c>
      <x:c r="B466" s="36" t="n">
        <x:v>46155</x:v>
      </x:c>
      <x:c r="C466" s="13" t="str">
        <x:v>C043</x:v>
      </x:c>
      <x:c r="D466" s="13" t="str">
        <x:v>P017</x:v>
      </x:c>
      <x:c r="E466" s="13" t="str">
        <x:v>Toronto</x:v>
      </x:c>
      <x:c r="F466" s="13" t="str">
        <x:v>Jordan</x:v>
      </x:c>
      <x:c r="G466" s="13" t="n">
        <x:v>9</x:v>
      </x:c>
      <x:c r="H466" s="44" t="n">
        <x:v>10.74</x:v>
      </x:c>
      <x:c r="I466" s="38" t="n">
        <x:v>0</x:v>
      </x:c>
      <x:c r="J466" s="44" t="n">
        <x:v>96.66</x:v>
      </x:c>
      <x:c r="K466" s="13" t="str">
        <x:v>Completed</x:v>
      </x:c>
    </x:row>
    <x:row r="467">
      <x:c r="A467" s="13" t="str">
        <x:v>O0466</x:v>
      </x:c>
      <x:c r="B467" s="36" t="n">
        <x:v>46230</x:v>
      </x:c>
      <x:c r="C467" s="13" t="str">
        <x:v>C025</x:v>
      </x:c>
      <x:c r="D467" s="13" t="str">
        <x:v>P075</x:v>
      </x:c>
      <x:c r="E467" s="13" t="str">
        <x:v>Toronto</x:v>
      </x:c>
      <x:c r="F467" s="13" t="str">
        <x:v>Riley</x:v>
      </x:c>
      <x:c r="G467" s="13" t="n">
        <x:v>6</x:v>
      </x:c>
      <x:c r="H467" s="44" t="n">
        <x:v>34.28</x:v>
      </x:c>
      <x:c r="I467" s="38" t="n">
        <x:v>0</x:v>
      </x:c>
      <x:c r="J467" s="44" t="n">
        <x:v>205.68</x:v>
      </x:c>
      <x:c r="K467" s="13" t="str">
        <x:v>Completed</x:v>
      </x:c>
    </x:row>
    <x:row r="468">
      <x:c r="A468" s="13" t="str">
        <x:v>O0467</x:v>
      </x:c>
      <x:c r="B468" s="36" t="n">
        <x:v>46124</x:v>
      </x:c>
      <x:c r="C468" s="13" t="str">
        <x:v>C102</x:v>
      </x:c>
      <x:c r="D468" s="13" t="str">
        <x:v>P070</x:v>
      </x:c>
      <x:c r="E468" s="13" t="str">
        <x:v>Ottawa</x:v>
      </x:c>
      <x:c r="F468" s="13" t="str">
        <x:v>Jordan</x:v>
      </x:c>
      <x:c r="G468" s="13" t="n">
        <x:v>4</x:v>
      </x:c>
      <x:c r="H468" s="44" t="n">
        <x:v>36.65</x:v>
      </x:c>
      <x:c r="I468" s="38" t="n">
        <x:v>0</x:v>
      </x:c>
      <x:c r="J468" s="44" t="n">
        <x:v>146.6</x:v>
      </x:c>
      <x:c r="K468" s="13" t="str">
        <x:v>Completed</x:v>
      </x:c>
    </x:row>
    <x:row r="469">
      <x:c r="A469" s="13" t="str">
        <x:v>O0468</x:v>
      </x:c>
      <x:c r="B469" s="36" t="n">
        <x:v>46059</x:v>
      </x:c>
      <x:c r="C469" s="13" t="str">
        <x:v>C091</x:v>
      </x:c>
      <x:c r="D469" s="13" t="str">
        <x:v>P014</x:v>
      </x:c>
      <x:c r="E469" s="13" t="str">
        <x:v>Western Canada</x:v>
      </x:c>
      <x:c r="F469" s="13" t="str">
        <x:v>Morgan</x:v>
      </x:c>
      <x:c r="G469" s="13" t="n">
        <x:v>12</x:v>
      </x:c>
      <x:c r="H469" s="44" t="n">
        <x:v>21.79</x:v>
      </x:c>
      <x:c r="I469" s="38" t="n">
        <x:v>0</x:v>
      </x:c>
      <x:c r="J469" s="44" t="n">
        <x:v>261.48</x:v>
      </x:c>
      <x:c r="K469" s="13" t="str">
        <x:v>Completed</x:v>
      </x:c>
    </x:row>
    <x:row r="470">
      <x:c r="A470" s="13" t="str">
        <x:v>O0469</x:v>
      </x:c>
      <x:c r="B470" s="36" t="n">
        <x:v>46062</x:v>
      </x:c>
      <x:c r="C470" s="13" t="str">
        <x:v>C122</x:v>
      </x:c>
      <x:c r="D470" s="13" t="str">
        <x:v>P012</x:v>
      </x:c>
      <x:c r="E470" s="13" t="str">
        <x:v>GTA West</x:v>
      </x:c>
      <x:c r="F470" s="13" t="str">
        <x:v>Avery</x:v>
      </x:c>
      <x:c r="G470" s="13" t="n">
        <x:v>1</x:v>
      </x:c>
      <x:c r="H470" s="44" t="n">
        <x:v>21.04</x:v>
      </x:c>
      <x:c r="I470" s="38" t="n">
        <x:v>0</x:v>
      </x:c>
      <x:c r="J470" s="44" t="n">
        <x:v>21.04</x:v>
      </x:c>
      <x:c r="K470" s="13" t="str">
        <x:v>Completed</x:v>
      </x:c>
    </x:row>
    <x:row r="471">
      <x:c r="A471" s="13" t="str">
        <x:v>O0470</x:v>
      </x:c>
      <x:c r="B471" s="36" t="n">
        <x:v>46108</x:v>
      </x:c>
      <x:c r="C471" s="13" t="str">
        <x:v>C110</x:v>
      </x:c>
      <x:c r="D471" s="13" t="str">
        <x:v>P043</x:v>
      </x:c>
      <x:c r="E471" s="13" t="str">
        <x:v>Southwestern ON</x:v>
      </x:c>
      <x:c r="F471" s="13" t="str">
        <x:v>Morgan</x:v>
      </x:c>
      <x:c r="G471" s="13" t="n">
        <x:v>3</x:v>
      </x:c>
      <x:c r="H471" s="44" t="n">
        <x:v>38.14</x:v>
      </x:c>
      <x:c r="I471" s="38" t="n">
        <x:v>0</x:v>
      </x:c>
      <x:c r="J471" s="44" t="n">
        <x:v>114.42</x:v>
      </x:c>
      <x:c r="K471" s="13" t="str">
        <x:v>Completed</x:v>
      </x:c>
    </x:row>
    <x:row r="472">
      <x:c r="A472" s="13" t="str">
        <x:v>O0471</x:v>
      </x:c>
      <x:c r="B472" s="36" t="n">
        <x:v>46134</x:v>
      </x:c>
      <x:c r="C472" s="13" t="str">
        <x:v>C022</x:v>
      </x:c>
      <x:c r="D472" s="13" t="str">
        <x:v>P017</x:v>
      </x:c>
      <x:c r="E472" s="13" t="str">
        <x:v>Ottawa</x:v>
      </x:c>
      <x:c r="F472" s="13" t="str">
        <x:v>Casey</x:v>
      </x:c>
      <x:c r="G472" s="13" t="n">
        <x:v>4</x:v>
      </x:c>
      <x:c r="H472" s="44" t="n">
        <x:v>10.74</x:v>
      </x:c>
      <x:c r="I472" s="38" t="n">
        <x:v>0.1</x:v>
      </x:c>
      <x:c r="J472" s="44" t="n">
        <x:v>38.66</x:v>
      </x:c>
      <x:c r="K472" s="13" t="str">
        <x:v>Completed</x:v>
      </x:c>
    </x:row>
    <x:row r="473">
      <x:c r="A473" s="13" t="str">
        <x:v>O0472</x:v>
      </x:c>
      <x:c r="B473" s="36" t="n">
        <x:v>46023</x:v>
      </x:c>
      <x:c r="C473" s="13" t="str">
        <x:v>C125</x:v>
      </x:c>
      <x:c r="D473" s="13" t="str">
        <x:v>P003</x:v>
      </x:c>
      <x:c r="E473" s="13" t="str">
        <x:v>Toronto</x:v>
      </x:c>
      <x:c r="F473" s="13" t="str">
        <x:v>Taylor</x:v>
      </x:c>
      <x:c r="G473" s="13" t="n">
        <x:v>4</x:v>
      </x:c>
      <x:c r="H473" s="44" t="n">
        <x:v>29.94</x:v>
      </x:c>
      <x:c r="I473" s="38" t="n">
        <x:v>0.05</x:v>
      </x:c>
      <x:c r="J473" s="44" t="n">
        <x:v>113.77</x:v>
      </x:c>
      <x:c r="K473" s="13" t="str">
        <x:v>Completed</x:v>
      </x:c>
    </x:row>
    <x:row r="474">
      <x:c r="A474" s="13" t="str">
        <x:v>O0473</x:v>
      </x:c>
      <x:c r="B474" s="36" t="n">
        <x:v>46040</x:v>
      </x:c>
      <x:c r="C474" s="13" t="str">
        <x:v>C071</x:v>
      </x:c>
      <x:c r="D474" s="13" t="str">
        <x:v>P063</x:v>
      </x:c>
      <x:c r="E474" s="13" t="str">
        <x:v>Southwestern ON</x:v>
      </x:c>
      <x:c r="F474" s="13" t="str">
        <x:v>Jordan</x:v>
      </x:c>
      <x:c r="G474" s="13" t="n">
        <x:v>5</x:v>
      </x:c>
      <x:c r="H474" s="44" t="n">
        <x:v>85.92</x:v>
      </x:c>
      <x:c r="I474" s="38" t="n">
        <x:v>0</x:v>
      </x:c>
      <x:c r="J474" s="44" t="n">
        <x:v>429.6</x:v>
      </x:c>
      <x:c r="K474" s="13" t="str">
        <x:v>Completed</x:v>
      </x:c>
    </x:row>
    <x:row r="475">
      <x:c r="A475" s="13" t="str">
        <x:v>O0474</x:v>
      </x:c>
      <x:c r="B475" s="36" t="n">
        <x:v>46027</x:v>
      </x:c>
      <x:c r="C475" s="13" t="str">
        <x:v>C124</x:v>
      </x:c>
      <x:c r="D475" s="13" t="str">
        <x:v>P075</x:v>
      </x:c>
      <x:c r="E475" s="13" t="str">
        <x:v>Ottawa</x:v>
      </x:c>
      <x:c r="F475" s="13" t="str">
        <x:v>Jordan</x:v>
      </x:c>
      <x:c r="G475" s="13" t="n">
        <x:v>5</x:v>
      </x:c>
      <x:c r="H475" s="44" t="n">
        <x:v>34.28</x:v>
      </x:c>
      <x:c r="I475" s="38" t="n">
        <x:v>0.1</x:v>
      </x:c>
      <x:c r="J475" s="44" t="n">
        <x:v>154.26</x:v>
      </x:c>
      <x:c r="K475" s="13" t="str">
        <x:v>Completed</x:v>
      </x:c>
    </x:row>
    <x:row r="476">
      <x:c r="A476" s="13" t="str">
        <x:v>O0475</x:v>
      </x:c>
      <x:c r="B476" s="36" t="n">
        <x:v>46169</x:v>
      </x:c>
      <x:c r="C476" s="13" t="str">
        <x:v>C002</x:v>
      </x:c>
      <x:c r="D476" s="13" t="str">
        <x:v>P066</x:v>
      </x:c>
      <x:c r="E476" s="13" t="str">
        <x:v>Ottawa</x:v>
      </x:c>
      <x:c r="F476" s="13" t="str">
        <x:v>Casey</x:v>
      </x:c>
      <x:c r="G476" s="13" t="n">
        <x:v>2</x:v>
      </x:c>
      <x:c r="H476" s="44" t="n">
        <x:v>32.55</x:v>
      </x:c>
      <x:c r="I476" s="38" t="n">
        <x:v>0.15</x:v>
      </x:c>
      <x:c r="J476" s="44" t="n">
        <x:v>55.33</x:v>
      </x:c>
      <x:c r="K476" s="13" t="str">
        <x:v>Completed</x:v>
      </x:c>
    </x:row>
    <x:row r="477">
      <x:c r="A477" s="13" t="str">
        <x:v>O0476</x:v>
      </x:c>
      <x:c r="B477" s="36" t="n">
        <x:v>46231</x:v>
      </x:c>
      <x:c r="C477" s="13" t="str">
        <x:v>C026</x:v>
      </x:c>
      <x:c r="D477" s="13" t="str">
        <x:v>P016</x:v>
      </x:c>
      <x:c r="E477" s="13" t="str">
        <x:v>Western Canada</x:v>
      </x:c>
      <x:c r="F477" s="13" t="str">
        <x:v>Casey</x:v>
      </x:c>
      <x:c r="G477" s="13" t="n">
        <x:v>10</x:v>
      </x:c>
      <x:c r="H477" s="44" t="n">
        <x:v>23.5</x:v>
      </x:c>
      <x:c r="I477" s="38" t="n">
        <x:v>0.05</x:v>
      </x:c>
      <x:c r="J477" s="44" t="n">
        <x:v>223.25</x:v>
      </x:c>
      <x:c r="K477" s="13" t="str">
        <x:v>Completed</x:v>
      </x:c>
    </x:row>
    <x:row r="478">
      <x:c r="A478" s="13" t="str">
        <x:v>O0477</x:v>
      </x:c>
      <x:c r="B478" s="36" t="n">
        <x:v>46124</x:v>
      </x:c>
      <x:c r="C478" s="13" t="str">
        <x:v>C014</x:v>
      </x:c>
      <x:c r="D478" s="13" t="str">
        <x:v>P014</x:v>
      </x:c>
      <x:c r="E478" s="13" t="str">
        <x:v>GTA West</x:v>
      </x:c>
      <x:c r="F478" s="13" t="str">
        <x:v>Riley</x:v>
      </x:c>
      <x:c r="G478" s="13" t="n">
        <x:v>5</x:v>
      </x:c>
      <x:c r="H478" s="44" t="n">
        <x:v>21.79</x:v>
      </x:c>
      <x:c r="I478" s="38" t="n">
        <x:v>0.1</x:v>
      </x:c>
      <x:c r="J478" s="44" t="n">
        <x:v>98.05</x:v>
      </x:c>
      <x:c r="K478" s="13" t="str">
        <x:v>Completed</x:v>
      </x:c>
    </x:row>
    <x:row r="479">
      <x:c r="A479" s="13" t="str">
        <x:v>O0478</x:v>
      </x:c>
      <x:c r="B479" s="36" t="n">
        <x:v>46045</x:v>
      </x:c>
      <x:c r="C479" s="13" t="str">
        <x:v>C063</x:v>
      </x:c>
      <x:c r="D479" s="13" t="str">
        <x:v>P009</x:v>
      </x:c>
      <x:c r="E479" s="13" t="str">
        <x:v>Ottawa</x:v>
      </x:c>
      <x:c r="F479" s="13" t="str">
        <x:v>Jordan</x:v>
      </x:c>
      <x:c r="G479" s="13" t="n">
        <x:v>3</x:v>
      </x:c>
      <x:c r="H479" s="44" t="n">
        <x:v>29.42</x:v>
      </x:c>
      <x:c r="I479" s="38" t="n">
        <x:v>0.05</x:v>
      </x:c>
      <x:c r="J479" s="44" t="n">
        <x:v>83.85</x:v>
      </x:c>
      <x:c r="K479" s="13" t="str">
        <x:v>Completed</x:v>
      </x:c>
    </x:row>
    <x:row r="480">
      <x:c r="A480" s="13" t="str">
        <x:v>O0479</x:v>
      </x:c>
      <x:c r="B480" s="36" t="n">
        <x:v>46060</x:v>
      </x:c>
      <x:c r="C480" s="13" t="str">
        <x:v>C054</x:v>
      </x:c>
      <x:c r="D480" s="13" t="str">
        <x:v>P064</x:v>
      </x:c>
      <x:c r="E480" s="13" t="str">
        <x:v>Toronto</x:v>
      </x:c>
      <x:c r="F480" s="13" t="str">
        <x:v>Casey</x:v>
      </x:c>
      <x:c r="G480" s="13" t="n">
        <x:v>9</x:v>
      </x:c>
      <x:c r="H480" s="44" t="n">
        <x:v>36.07</x:v>
      </x:c>
      <x:c r="I480" s="38" t="n">
        <x:v>0</x:v>
      </x:c>
      <x:c r="J480" s="44" t="n">
        <x:v>324.63</x:v>
      </x:c>
      <x:c r="K480" s="13" t="str">
        <x:v>Pending</x:v>
      </x:c>
    </x:row>
    <x:row r="481">
      <x:c r="A481" s="13" t="str">
        <x:v>O0480</x:v>
      </x:c>
      <x:c r="B481" s="36" t="n">
        <x:v>46262</x:v>
      </x:c>
      <x:c r="C481" s="13" t="str">
        <x:v>C005</x:v>
      </x:c>
      <x:c r="D481" s="13" t="str">
        <x:v>P043</x:v>
      </x:c>
      <x:c r="E481" s="13" t="str">
        <x:v>Ottawa</x:v>
      </x:c>
      <x:c r="F481" s="13" t="str">
        <x:v>Morgan</x:v>
      </x:c>
      <x:c r="G481" s="13" t="n">
        <x:v>12</x:v>
      </x:c>
      <x:c r="H481" s="44" t="n">
        <x:v>38.14</x:v>
      </x:c>
      <x:c r="I481" s="38" t="n">
        <x:v>0.05</x:v>
      </x:c>
      <x:c r="J481" s="44" t="n">
        <x:v>434.8</x:v>
      </x:c>
      <x:c r="K481" s="13" t="str">
        <x:v>Completed</x:v>
      </x:c>
    </x:row>
    <x:row r="482">
      <x:c r="A482" s="13" t="str">
        <x:v>O0481</x:v>
      </x:c>
      <x:c r="B482" s="36" t="n">
        <x:v>46106</x:v>
      </x:c>
      <x:c r="C482" s="13" t="str">
        <x:v>C135</x:v>
      </x:c>
      <x:c r="D482" s="13" t="str">
        <x:v>P006</x:v>
      </x:c>
      <x:c r="E482" s="13" t="str">
        <x:v>Western Canada</x:v>
      </x:c>
      <x:c r="F482" s="13" t="str">
        <x:v>Riley</x:v>
      </x:c>
      <x:c r="G482" s="13" t="n">
        <x:v>10</x:v>
      </x:c>
      <x:c r="H482" s="44" t="n">
        <x:v>22.5</x:v>
      </x:c>
      <x:c r="I482" s="38" t="n">
        <x:v>0.05</x:v>
      </x:c>
      <x:c r="J482" s="44" t="n">
        <x:v>213.75</x:v>
      </x:c>
      <x:c r="K482" s="13" t="str">
        <x:v>Cancelled</x:v>
      </x:c>
    </x:row>
    <x:row r="483">
      <x:c r="A483" s="13" t="str">
        <x:v>O0482</x:v>
      </x:c>
      <x:c r="B483" s="36" t="n">
        <x:v>46023</x:v>
      </x:c>
      <x:c r="C483" s="13" t="str">
        <x:v>C123</x:v>
      </x:c>
      <x:c r="D483" s="13" t="str">
        <x:v>P025</x:v>
      </x:c>
      <x:c r="E483" s="13" t="str">
        <x:v>Western Canada</x:v>
      </x:c>
      <x:c r="F483" s="13" t="str">
        <x:v>Avery</x:v>
      </x:c>
      <x:c r="G483" s="13" t="n">
        <x:v>7</x:v>
      </x:c>
      <x:c r="H483" s="44" t="n">
        <x:v>23.27</x:v>
      </x:c>
      <x:c r="I483" s="38" t="n">
        <x:v>0</x:v>
      </x:c>
      <x:c r="J483" s="44" t="n">
        <x:v>162.89</x:v>
      </x:c>
      <x:c r="K483" s="13" t="str">
        <x:v>Completed</x:v>
      </x:c>
    </x:row>
    <x:row r="484">
      <x:c r="A484" s="13" t="str">
        <x:v>O0483</x:v>
      </x:c>
      <x:c r="B484" s="36" t="n">
        <x:v>46142</x:v>
      </x:c>
      <x:c r="C484" s="13" t="str">
        <x:v>C045</x:v>
      </x:c>
      <x:c r="D484" s="13" t="str">
        <x:v>P063</x:v>
      </x:c>
      <x:c r="E484" s="13" t="str">
        <x:v>Southwestern ON</x:v>
      </x:c>
      <x:c r="F484" s="13" t="str">
        <x:v>Jordan</x:v>
      </x:c>
      <x:c r="G484" s="13" t="n">
        <x:v>9</x:v>
      </x:c>
      <x:c r="H484" s="44" t="n">
        <x:v>85.92</x:v>
      </x:c>
      <x:c r="I484" s="38" t="n">
        <x:v>0</x:v>
      </x:c>
      <x:c r="J484" s="44" t="n">
        <x:v>773.28</x:v>
      </x:c>
      <x:c r="K484" s="13" t="str">
        <x:v>Completed</x:v>
      </x:c>
    </x:row>
    <x:row r="485">
      <x:c r="A485" s="13" t="str">
        <x:v>O0484</x:v>
      </x:c>
      <x:c r="B485" s="36" t="n">
        <x:v>46024</x:v>
      </x:c>
      <x:c r="C485" s="13" t="str">
        <x:v>C056</x:v>
      </x:c>
      <x:c r="D485" s="13" t="str">
        <x:v>P074</x:v>
      </x:c>
      <x:c r="E485" s="13" t="str">
        <x:v>GTA West</x:v>
      </x:c>
      <x:c r="F485" s="13" t="str">
        <x:v>Avery</x:v>
      </x:c>
      <x:c r="G485" s="13" t="n">
        <x:v>9</x:v>
      </x:c>
      <x:c r="H485" s="44" t="n">
        <x:v>24.37</x:v>
      </x:c>
      <x:c r="I485" s="38" t="n">
        <x:v>0.1</x:v>
      </x:c>
      <x:c r="J485" s="44" t="n">
        <x:v>197.4</x:v>
      </x:c>
      <x:c r="K485" s="13" t="str">
        <x:v>Cancelled</x:v>
      </x:c>
    </x:row>
    <x:row r="486">
      <x:c r="A486" s="13" t="str">
        <x:v>O0485</x:v>
      </x:c>
      <x:c r="B486" s="36" t="n">
        <x:v>46136</x:v>
      </x:c>
      <x:c r="C486" s="13" t="str">
        <x:v>C060</x:v>
      </x:c>
      <x:c r="D486" s="13" t="str">
        <x:v>P003</x:v>
      </x:c>
      <x:c r="E486" s="13" t="str">
        <x:v>Ottawa</x:v>
      </x:c>
      <x:c r="F486" s="13" t="str">
        <x:v>Morgan</x:v>
      </x:c>
      <x:c r="G486" s="13" t="n">
        <x:v>5</x:v>
      </x:c>
      <x:c r="H486" s="44" t="n">
        <x:v>29.94</x:v>
      </x:c>
      <x:c r="I486" s="38" t="n">
        <x:v>0.1</x:v>
      </x:c>
      <x:c r="J486" s="44" t="n">
        <x:v>134.73</x:v>
      </x:c>
      <x:c r="K486" s="13" t="str">
        <x:v>Completed</x:v>
      </x:c>
    </x:row>
    <x:row r="487">
      <x:c r="A487" s="13" t="str">
        <x:v>O0486</x:v>
      </x:c>
      <x:c r="B487" s="36" t="n">
        <x:v>46238</x:v>
      </x:c>
      <x:c r="C487" s="13" t="str">
        <x:v>C135</x:v>
      </x:c>
      <x:c r="D487" s="13" t="str">
        <x:v>P043</x:v>
      </x:c>
      <x:c r="E487" s="13" t="str">
        <x:v>Ottawa</x:v>
      </x:c>
      <x:c r="F487" s="13" t="str">
        <x:v>Riley</x:v>
      </x:c>
      <x:c r="G487" s="13" t="n">
        <x:v>2</x:v>
      </x:c>
      <x:c r="H487" s="44" t="n">
        <x:v>38.14</x:v>
      </x:c>
      <x:c r="I487" s="38" t="n">
        <x:v>0</x:v>
      </x:c>
      <x:c r="J487" s="44" t="n">
        <x:v>76.28</x:v>
      </x:c>
      <x:c r="K487" s="13" t="str">
        <x:v>Completed</x:v>
      </x:c>
    </x:row>
    <x:row r="488">
      <x:c r="A488" s="13" t="str">
        <x:v>O0487</x:v>
      </x:c>
      <x:c r="B488" s="36" t="n">
        <x:v>46184</x:v>
      </x:c>
      <x:c r="C488" s="13" t="str">
        <x:v>C073</x:v>
      </x:c>
      <x:c r="D488" s="13" t="str">
        <x:v>P011</x:v>
      </x:c>
      <x:c r="E488" s="13" t="str">
        <x:v>Western Canada</x:v>
      </x:c>
      <x:c r="F488" s="13" t="str">
        <x:v>Riley</x:v>
      </x:c>
      <x:c r="G488" s="13" t="n">
        <x:v>11</x:v>
      </x:c>
      <x:c r="H488" s="44" t="n">
        <x:v>32.78</x:v>
      </x:c>
      <x:c r="I488" s="38" t="n">
        <x:v>0.1</x:v>
      </x:c>
      <x:c r="J488" s="44" t="n">
        <x:v>324.52</x:v>
      </x:c>
      <x:c r="K488" s="13" t="str">
        <x:v>Completed</x:v>
      </x:c>
    </x:row>
    <x:row r="489">
      <x:c r="A489" s="13" t="str">
        <x:v>O0488</x:v>
      </x:c>
      <x:c r="B489" s="36" t="n">
        <x:v>46195</x:v>
      </x:c>
      <x:c r="C489" s="13" t="str">
        <x:v>C045</x:v>
      </x:c>
      <x:c r="D489" s="13" t="str">
        <x:v>P028</x:v>
      </x:c>
      <x:c r="E489" s="13" t="str">
        <x:v>Toronto</x:v>
      </x:c>
      <x:c r="F489" s="13" t="str">
        <x:v>Avery</x:v>
      </x:c>
      <x:c r="G489" s="13" t="n">
        <x:v>5</x:v>
      </x:c>
      <x:c r="H489" s="44" t="n">
        <x:v>27.55</x:v>
      </x:c>
      <x:c r="I489" s="38" t="n">
        <x:v>0</x:v>
      </x:c>
      <x:c r="J489" s="44" t="n">
        <x:v>137.75</x:v>
      </x:c>
      <x:c r="K489" s="13" t="str">
        <x:v>Completed</x:v>
      </x:c>
    </x:row>
    <x:row r="490">
      <x:c r="A490" s="13" t="str">
        <x:v>O0489</x:v>
      </x:c>
      <x:c r="B490" s="36" t="n">
        <x:v>46193</x:v>
      </x:c>
      <x:c r="C490" s="13" t="str">
        <x:v>C021</x:v>
      </x:c>
      <x:c r="D490" s="13" t="str">
        <x:v>P011</x:v>
      </x:c>
      <x:c r="E490" s="13" t="str">
        <x:v>Southwestern ON</x:v>
      </x:c>
      <x:c r="F490" s="13" t="str">
        <x:v>Morgan</x:v>
      </x:c>
      <x:c r="G490" s="13" t="n">
        <x:v>11</x:v>
      </x:c>
      <x:c r="H490" s="44" t="n">
        <x:v>32.78</x:v>
      </x:c>
      <x:c r="I490" s="38" t="n">
        <x:v>0</x:v>
      </x:c>
      <x:c r="J490" s="44" t="n">
        <x:v>360.58</x:v>
      </x:c>
      <x:c r="K490" s="13" t="str">
        <x:v>Completed</x:v>
      </x:c>
    </x:row>
    <x:row r="491">
      <x:c r="A491" s="13" t="str">
        <x:v>O0490</x:v>
      </x:c>
      <x:c r="B491" s="36" t="n">
        <x:v>46164</x:v>
      </x:c>
      <x:c r="C491" s="13" t="str">
        <x:v>C070</x:v>
      </x:c>
      <x:c r="D491" s="13" t="str">
        <x:v>P071</x:v>
      </x:c>
      <x:c r="E491" s="13" t="str">
        <x:v>Western Canada</x:v>
      </x:c>
      <x:c r="F491" s="13" t="str">
        <x:v>Casey</x:v>
      </x:c>
      <x:c r="G491" s="13" t="n">
        <x:v>2</x:v>
      </x:c>
      <x:c r="H491" s="44" t="n">
        <x:v>66.69</x:v>
      </x:c>
      <x:c r="I491" s="38" t="n">
        <x:v>0.1</x:v>
      </x:c>
      <x:c r="J491" s="44" t="n">
        <x:v>120.04</x:v>
      </x:c>
      <x:c r="K491" s="13" t="str">
        <x:v>Pending</x:v>
      </x:c>
    </x:row>
    <x:row r="492">
      <x:c r="A492" s="13" t="str">
        <x:v>O0491</x:v>
      </x:c>
      <x:c r="B492" s="36" t="n">
        <x:v>46169</x:v>
      </x:c>
      <x:c r="C492" s="13" t="str">
        <x:v>C061</x:v>
      </x:c>
      <x:c r="D492" s="13" t="str">
        <x:v>P026</x:v>
      </x:c>
      <x:c r="E492" s="13" t="str">
        <x:v>Southwestern ON</x:v>
      </x:c>
      <x:c r="F492" s="13" t="str">
        <x:v>Taylor</x:v>
      </x:c>
      <x:c r="G492" s="13" t="n">
        <x:v>4</x:v>
      </x:c>
      <x:c r="H492" s="44" t="n">
        <x:v>22.79</x:v>
      </x:c>
      <x:c r="I492" s="38" t="n">
        <x:v>0.15</x:v>
      </x:c>
      <x:c r="J492" s="44" t="n">
        <x:v>77.49</x:v>
      </x:c>
      <x:c r="K492" s="13" t="str">
        <x:v>Completed</x:v>
      </x:c>
    </x:row>
    <x:row r="493">
      <x:c r="A493" s="13" t="str">
        <x:v>O0492</x:v>
      </x:c>
      <x:c r="B493" s="36" t="n">
        <x:v>46033</x:v>
      </x:c>
      <x:c r="C493" s="13" t="str">
        <x:v>C020</x:v>
      </x:c>
      <x:c r="D493" s="13" t="str">
        <x:v>P074</x:v>
      </x:c>
      <x:c r="E493" s="13" t="str">
        <x:v>Ottawa</x:v>
      </x:c>
      <x:c r="F493" s="13" t="str">
        <x:v>Morgan</x:v>
      </x:c>
      <x:c r="G493" s="13" t="n">
        <x:v>6</x:v>
      </x:c>
      <x:c r="H493" s="44" t="n">
        <x:v>24.37</x:v>
      </x:c>
      <x:c r="I493" s="38" t="n">
        <x:v>0.1</x:v>
      </x:c>
      <x:c r="J493" s="44" t="n">
        <x:v>131.6</x:v>
      </x:c>
      <x:c r="K493" s="13" t="str">
        <x:v>Completed</x:v>
      </x:c>
    </x:row>
    <x:row r="494">
      <x:c r="A494" s="13" t="str">
        <x:v>O0493</x:v>
      </x:c>
      <x:c r="B494" s="36" t="n">
        <x:v>46047</x:v>
      </x:c>
      <x:c r="C494" s="13" t="str">
        <x:v>C007</x:v>
      </x:c>
      <x:c r="D494" s="13" t="str">
        <x:v>P008</x:v>
      </x:c>
      <x:c r="E494" s="13" t="str">
        <x:v>Toronto</x:v>
      </x:c>
      <x:c r="F494" s="13" t="str">
        <x:v>Taylor</x:v>
      </x:c>
      <x:c r="G494" s="13" t="n">
        <x:v>4</x:v>
      </x:c>
      <x:c r="H494" s="44" t="n">
        <x:v>24.86</x:v>
      </x:c>
      <x:c r="I494" s="38" t="n">
        <x:v>0</x:v>
      </x:c>
      <x:c r="J494" s="44" t="n">
        <x:v>99.44</x:v>
      </x:c>
      <x:c r="K494" s="13" t="str">
        <x:v>Completed</x:v>
      </x:c>
    </x:row>
    <x:row r="495">
      <x:c r="A495" s="13" t="str">
        <x:v>O0494</x:v>
      </x:c>
      <x:c r="B495" s="36" t="n">
        <x:v>46223</x:v>
      </x:c>
      <x:c r="C495" s="13" t="str">
        <x:v>C116</x:v>
      </x:c>
      <x:c r="D495" s="13" t="str">
        <x:v>P025</x:v>
      </x:c>
      <x:c r="E495" s="13" t="str">
        <x:v>Toronto</x:v>
      </x:c>
      <x:c r="F495" s="13" t="str">
        <x:v>Casey</x:v>
      </x:c>
      <x:c r="G495" s="13" t="n">
        <x:v>4</x:v>
      </x:c>
      <x:c r="H495" s="44" t="n">
        <x:v>23.27</x:v>
      </x:c>
      <x:c r="I495" s="38" t="n">
        <x:v>0</x:v>
      </x:c>
      <x:c r="J495" s="44" t="n">
        <x:v>93.08</x:v>
      </x:c>
      <x:c r="K495" s="13" t="str">
        <x:v>Completed</x:v>
      </x:c>
    </x:row>
    <x:row r="496">
      <x:c r="A496" s="13" t="str">
        <x:v>O0495</x:v>
      </x:c>
      <x:c r="B496" s="36" t="n">
        <x:v>46190</x:v>
      </x:c>
      <x:c r="C496" s="13" t="str">
        <x:v>C070</x:v>
      </x:c>
      <x:c r="D496" s="13" t="str">
        <x:v>P045</x:v>
      </x:c>
      <x:c r="E496" s="13" t="str">
        <x:v>Western Canada</x:v>
      </x:c>
      <x:c r="F496" s="13" t="str">
        <x:v>Jordan</x:v>
      </x:c>
      <x:c r="G496" s="13" t="n">
        <x:v>11</x:v>
      </x:c>
      <x:c r="H496" s="44" t="n">
        <x:v>13.92</x:v>
      </x:c>
      <x:c r="I496" s="38" t="n">
        <x:v>0</x:v>
      </x:c>
      <x:c r="J496" s="44" t="n">
        <x:v>153.12</x:v>
      </x:c>
      <x:c r="K496" s="13" t="str">
        <x:v>Completed</x:v>
      </x:c>
    </x:row>
    <x:row r="497">
      <x:c r="A497" s="13" t="str">
        <x:v>O0496</x:v>
      </x:c>
      <x:c r="B497" s="36" t="n">
        <x:v>46217</x:v>
      </x:c>
      <x:c r="C497" s="13" t="str">
        <x:v>C042</x:v>
      </x:c>
      <x:c r="D497" s="13" t="str">
        <x:v>P013</x:v>
      </x:c>
      <x:c r="E497" s="13" t="str">
        <x:v>Ottawa</x:v>
      </x:c>
      <x:c r="F497" s="13" t="str">
        <x:v>Avery</x:v>
      </x:c>
      <x:c r="G497" s="13" t="n">
        <x:v>9</x:v>
      </x:c>
      <x:c r="H497" s="44" t="n">
        <x:v>12.07</x:v>
      </x:c>
      <x:c r="I497" s="38" t="n">
        <x:v>0.05</x:v>
      </x:c>
      <x:c r="J497" s="44" t="n">
        <x:v>103.2</x:v>
      </x:c>
      <x:c r="K497" s="13" t="str">
        <x:v>Completed</x:v>
      </x:c>
    </x:row>
    <x:row r="498">
      <x:c r="A498" s="13" t="str">
        <x:v>O0497</x:v>
      </x:c>
      <x:c r="B498" s="36" t="n">
        <x:v>46155</x:v>
      </x:c>
      <x:c r="C498" s="13" t="str">
        <x:v>C135</x:v>
      </x:c>
      <x:c r="D498" s="13" t="str">
        <x:v>P004</x:v>
      </x:c>
      <x:c r="E498" s="13" t="str">
        <x:v>Southwestern ON</x:v>
      </x:c>
      <x:c r="F498" s="13" t="str">
        <x:v>Morgan</x:v>
      </x:c>
      <x:c r="G498" s="13" t="n">
        <x:v>3</x:v>
      </x:c>
      <x:c r="H498" s="44" t="n">
        <x:v>23.21</x:v>
      </x:c>
      <x:c r="I498" s="38" t="n">
        <x:v>0.1</x:v>
      </x:c>
      <x:c r="J498" s="44" t="n">
        <x:v>62.67</x:v>
      </x:c>
      <x:c r="K498" s="13" t="str">
        <x:v>Pending</x:v>
      </x:c>
    </x:row>
    <x:row r="499">
      <x:c r="A499" s="13" t="str">
        <x:v>O0498</x:v>
      </x:c>
      <x:c r="B499" s="36" t="n">
        <x:v>46061</x:v>
      </x:c>
      <x:c r="C499" s="13" t="str">
        <x:v>C105</x:v>
      </x:c>
      <x:c r="D499" s="13" t="str">
        <x:v>P008</x:v>
      </x:c>
      <x:c r="E499" s="13" t="str">
        <x:v>Ottawa</x:v>
      </x:c>
      <x:c r="F499" s="13" t="str">
        <x:v>Morgan</x:v>
      </x:c>
      <x:c r="G499" s="13" t="n">
        <x:v>3</x:v>
      </x:c>
      <x:c r="H499" s="44" t="n">
        <x:v>24.86</x:v>
      </x:c>
      <x:c r="I499" s="38" t="n">
        <x:v>0.15</x:v>
      </x:c>
      <x:c r="J499" s="44" t="n">
        <x:v>63.39</x:v>
      </x:c>
      <x:c r="K499" s="13" t="str">
        <x:v>Completed</x:v>
      </x:c>
    </x:row>
    <x:row r="500">
      <x:c r="A500" s="13" t="str">
        <x:v>O0499</x:v>
      </x:c>
      <x:c r="B500" s="36" t="n">
        <x:v>46107</x:v>
      </x:c>
      <x:c r="C500" s="13" t="str">
        <x:v>C115</x:v>
      </x:c>
      <x:c r="D500" s="13" t="str">
        <x:v>P002</x:v>
      </x:c>
      <x:c r="E500" s="13" t="str">
        <x:v>Toronto</x:v>
      </x:c>
      <x:c r="F500" s="13" t="str">
        <x:v>Jordan</x:v>
      </x:c>
      <x:c r="G500" s="13" t="n">
        <x:v>9</x:v>
      </x:c>
      <x:c r="H500" s="44" t="n">
        <x:v>32.04</x:v>
      </x:c>
      <x:c r="I500" s="38" t="n">
        <x:v>0</x:v>
      </x:c>
      <x:c r="J500" s="44" t="n">
        <x:v>288.36</x:v>
      </x:c>
      <x:c r="K500" s="13" t="str">
        <x:v>Completed</x:v>
      </x:c>
    </x:row>
    <x:row r="501">
      <x:c r="A501" s="13" t="str">
        <x:v>O0500</x:v>
      </x:c>
      <x:c r="B501" s="36" t="n">
        <x:v>46143</x:v>
      </x:c>
      <x:c r="C501" s="13" t="str">
        <x:v>C016</x:v>
      </x:c>
      <x:c r="D501" s="13" t="str">
        <x:v>P039</x:v>
      </x:c>
      <x:c r="E501" s="13" t="str">
        <x:v>Southwestern ON</x:v>
      </x:c>
      <x:c r="F501" s="13" t="str">
        <x:v>Taylor</x:v>
      </x:c>
      <x:c r="G501" s="13" t="n">
        <x:v>6</x:v>
      </x:c>
      <x:c r="H501" s="44" t="n">
        <x:v>14.42</x:v>
      </x:c>
      <x:c r="I501" s="38" t="n">
        <x:v>0</x:v>
      </x:c>
      <x:c r="J501" s="44" t="n">
        <x:v>86.52</x:v>
      </x:c>
      <x:c r="K501" s="13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8727342b70f64d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1.880000114440918" hidden="0" customWidth="1"/>
  </x:cols>
  <x:sheetData>
    <x:row r="1">
      <x:c r="A1" s="34" t="str">
        <x:v>Date</x:v>
      </x:c>
      <x:c r="B1" s="34" t="str">
        <x:v>Holiday</x:v>
      </x:c>
    </x:row>
    <x:row r="2">
      <x:c r="A2" s="36" t="n">
        <x:v>46023</x:v>
      </x:c>
      <x:c r="B2" s="13" t="str">
        <x:v>New Year's Day</x:v>
      </x:c>
    </x:row>
    <x:row r="3">
      <x:c r="A3" s="36" t="n">
        <x:v>46069</x:v>
      </x:c>
      <x:c r="B3" s="13" t="str">
        <x:v>Family Day</x:v>
      </x:c>
    </x:row>
    <x:row r="4">
      <x:c r="A4" s="36" t="n">
        <x:v>46115</x:v>
      </x:c>
      <x:c r="B4" s="13" t="str">
        <x:v>Good Friday</x:v>
      </x:c>
    </x:row>
    <x:row r="5">
      <x:c r="A5" s="36" t="n">
        <x:v>46160</x:v>
      </x:c>
      <x:c r="B5" s="13" t="str">
        <x:v>Victoria Day</x:v>
      </x:c>
    </x:row>
    <x:row r="6">
      <x:c r="A6" s="36" t="n">
        <x:v>46204</x:v>
      </x:c>
      <x:c r="B6" s="13" t="str">
        <x:v>Canada Day</x:v>
      </x:c>
    </x:row>
    <x:row r="7">
      <x:c r="A7" s="36" t="n">
        <x:v>46237</x:v>
      </x:c>
      <x:c r="B7" s="13" t="str">
        <x:v>Civic Holiday</x:v>
      </x:c>
    </x:row>
    <x:row r="8">
      <x:c r="A8" s="36" t="n">
        <x:v>46272</x:v>
      </x:c>
      <x:c r="B8" s="13" t="str">
        <x:v>Labour Day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38" hidden="0" customWidth="1"/>
    <x:col min="4" max="4" width="24" hidden="0" customWidth="1"/>
    <x:col min="5" max="5" width="8.630000114440918" hidden="0" customWidth="1"/>
    <x:col min="6" max="6" width="4.5" hidden="0" customWidth="1"/>
    <x:col min="7" max="7" width="24" hidden="0" customWidth="1"/>
    <x:col min="8" max="8" width="24" hidden="0" customWidth="1"/>
    <x:col min="9" max="9" width="52" hidden="0" customWidth="1"/>
  </x:cols>
  <x:sheetData>
    <x:row r="1">
      <x:c r="A1" s="34" t="str">
        <x:v>#</x:v>
      </x:c>
      <x:c r="B1" s="34" t="str">
        <x:v>Section</x:v>
      </x:c>
      <x:c r="C1" s="34" t="str">
        <x:v>Workplace problem</x:v>
      </x:c>
      <x:c r="D1" s="34" t="str">
        <x:v>Excel solution</x:v>
      </x:c>
      <x:c r="E1" s="34" t="str">
        <x:v>Dataset</x:v>
      </x:c>
      <x:c r="F1" s="34" t="str">
        <x:v>Level</x:v>
      </x:c>
      <x:c r="G1" s="34" t="str">
        <x:v>QA method</x:v>
      </x:c>
      <x:c r="H1" s="34" t="str">
        <x:v>Expected output / check</x:v>
      </x:c>
      <x:c r="I1" s="34" t="str">
        <x:v>Source</x:v>
      </x:c>
    </x:row>
    <x:row r="2">
      <x:c r="A2" s="13" t="n">
        <x:v>1</x:v>
      </x:c>
      <x:c r="B2" s="13" t="str">
        <x:v>Quick wins</x:v>
      </x:c>
      <x:c r="C2" s="13" t="str">
        <x:v>Add a column of expenses</x:v>
      </x:c>
      <x:c r="D2" s="13" t="str">
        <x:v>SUM</x:v>
      </x:c>
      <x:c r="E2" s="13" t="str">
        <x:v>Expenses</x:v>
      </x:c>
      <x:c r="F2" s="13" t="str">
        <x:v>1</x:v>
      </x:c>
      <x:c r="G2" s="13" t="str">
        <x:v>Formula</x:v>
      </x:c>
      <x:c r="H2" s="13" t="str">
        <x:v>Total matches known expense range</x:v>
      </x:c>
      <x:c r="I2" s="13" t="str">
        <x:v>https://support.microsoft.com/en-us/excel/excel-functions-alphabetical</x:v>
      </x:c>
    </x:row>
    <x:row r="3">
      <x:c r="A3" s="13" t="n">
        <x:v>2</x:v>
      </x:c>
      <x:c r="B3" s="13" t="str">
        <x:v>Quick wins</x:v>
      </x:c>
      <x:c r="C3" s="13" t="str">
        <x:v>Calculate average order value</x:v>
      </x:c>
      <x:c r="D3" s="13" t="str">
        <x:v>AVERAGE</x:v>
      </x:c>
      <x:c r="E3" s="13" t="str">
        <x:v>Sales</x:v>
      </x:c>
      <x:c r="F3" s="13" t="str">
        <x:v>1</x:v>
      </x:c>
      <x:c r="G3" s="13" t="str">
        <x:v>Formula</x:v>
      </x:c>
      <x:c r="H3" s="13" t="str">
        <x:v>Average of Revenue values</x:v>
      </x:c>
      <x:c r="I3" s="13" t="str">
        <x:v>https://support.microsoft.com/en-us/excel/excel-functions-alphabetical</x:v>
      </x:c>
    </x:row>
    <x:row r="4">
      <x:c r="A4" s="13" t="n">
        <x:v>3</x:v>
      </x:c>
      <x:c r="B4" s="13" t="str">
        <x:v>Quick wins</x:v>
      </x:c>
      <x:c r="C4" s="13" t="str">
        <x:v>Find highest and lowest sale</x:v>
      </x:c>
      <x:c r="D4" s="13" t="str">
        <x:v>MAX, MIN</x:v>
      </x:c>
      <x:c r="E4" s="13" t="str">
        <x:v>Sales</x:v>
      </x:c>
      <x:c r="F4" s="13" t="str">
        <x:v>1</x:v>
      </x:c>
      <x:c r="G4" s="13" t="str">
        <x:v>Formula</x:v>
      </x:c>
      <x:c r="H4" s="13" t="str">
        <x:v>Highest and lowest Revenue</x:v>
      </x:c>
      <x:c r="I4" s="13" t="str">
        <x:v>https://support.microsoft.com/en-us/excel/excel-functions-alphabetical</x:v>
      </x:c>
    </x:row>
    <x:row r="5">
      <x:c r="A5" s="13" t="n">
        <x:v>4</x:v>
      </x:c>
      <x:c r="B5" s="13" t="str">
        <x:v>Quick wins</x:v>
      </x:c>
      <x:c r="C5" s="13" t="str">
        <x:v>Calculate percentage change</x:v>
      </x:c>
      <x:c r="D5" s="13" t="str">
        <x:v>Arithmetic formula</x:v>
      </x:c>
      <x:c r="E5" s="13" t="str">
        <x:v>Sales</x:v>
      </x:c>
      <x:c r="F5" s="13" t="str">
        <x:v>1</x:v>
      </x:c>
      <x:c r="G5" s="13" t="str">
        <x:v>Formula</x:v>
      </x:c>
      <x:c r="H5" s="13" t="str">
        <x:v>(New-Old)/Old</x:v>
      </x:c>
      <x:c r="I5" s="13" t="str">
        <x:v>https://support.microsoft.com/en-us/excel/get-started/overview-of-formulas-in-excel</x:v>
      </x:c>
    </x:row>
    <x:row r="6">
      <x:c r="A6" s="13" t="n">
        <x:v>5</x:v>
      </x:c>
      <x:c r="B6" s="13" t="str">
        <x:v>Quick wins</x:v>
      </x:c>
      <x:c r="C6" s="13" t="str">
        <x:v>Keep headings visible while scrolling</x:v>
      </x:c>
      <x:c r="D6" s="13" t="str">
        <x:v>Freeze Panes</x:v>
      </x:c>
      <x:c r="E6" s="13" t="str">
        <x:v>Sales</x:v>
      </x:c>
      <x:c r="F6" s="13" t="str">
        <x:v>1</x:v>
      </x:c>
      <x:c r="G6" s="13" t="str">
        <x:v>Visual</x:v>
      </x:c>
      <x:c r="H6" s="13" t="str">
        <x:v>Header remains visible</x:v>
      </x:c>
      <x:c r="I6" s="13" t="str">
        <x:v>https://support.microsoft.com/en-us/office/freeze-panes-to-lock-rows-and-columns</x:v>
      </x:c>
    </x:row>
    <x:row r="7">
      <x:c r="A7" s="13" t="n">
        <x:v>6</x:v>
      </x:c>
      <x:c r="B7" s="13" t="str">
        <x:v>Conditional calculations</x:v>
      </x:c>
      <x:c r="C7" s="13" t="str">
        <x:v>Total sales for one region</x:v>
      </x:c>
      <x:c r="D7" s="13" t="str">
        <x:v>SUMIF</x:v>
      </x:c>
      <x:c r="E7" s="13" t="str">
        <x:v>Sales</x:v>
      </x:c>
      <x:c r="F7" s="13" t="str">
        <x:v>2</x:v>
      </x:c>
      <x:c r="G7" s="13" t="str">
        <x:v>Formula</x:v>
      </x:c>
      <x:c r="H7" s="13" t="str">
        <x:v>Matches filtered region total</x:v>
      </x:c>
      <x:c r="I7" s="13" t="str">
        <x:v>https://support.microsoft.com/en-us/excel/excel-functions-alphabetical</x:v>
      </x:c>
    </x:row>
    <x:row r="8">
      <x:c r="A8" s="13" t="n">
        <x:v>7</x:v>
      </x:c>
      <x:c r="B8" s="13" t="str">
        <x:v>Conditional calculations</x:v>
      </x:c>
      <x:c r="C8" s="13" t="str">
        <x:v>Total sales meeting multiple conditions</x:v>
      </x:c>
      <x:c r="D8" s="13" t="str">
        <x:v>SUMIFS</x:v>
      </x:c>
      <x:c r="E8" s="13" t="str">
        <x:v>Sales</x:v>
      </x:c>
      <x:c r="F8" s="13" t="str">
        <x:v>2</x:v>
      </x:c>
      <x:c r="G8" s="13" t="str">
        <x:v>Formula</x:v>
      </x:c>
      <x:c r="H8" s="13" t="str">
        <x:v>Matches region and status total</x:v>
      </x:c>
      <x:c r="I8" s="13" t="str">
        <x:v>https://support.microsoft.com/en-us/excel/excel-functions-alphabetical</x:v>
      </x:c>
    </x:row>
    <x:row r="9">
      <x:c r="A9" s="13" t="n">
        <x:v>8</x:v>
      </x:c>
      <x:c r="B9" s="13" t="str">
        <x:v>Conditional calculations</x:v>
      </x:c>
      <x:c r="C9" s="13" t="str">
        <x:v>Count orders with a particular status</x:v>
      </x:c>
      <x:c r="D9" s="13" t="str">
        <x:v>COUNTIF</x:v>
      </x:c>
      <x:c r="E9" s="13" t="str">
        <x:v>Sales</x:v>
      </x:c>
      <x:c r="F9" s="13" t="str">
        <x:v>2</x:v>
      </x:c>
      <x:c r="G9" s="13" t="str">
        <x:v>Formula</x:v>
      </x:c>
      <x:c r="H9" s="13" t="str">
        <x:v>Matches status count</x:v>
      </x:c>
      <x:c r="I9" s="13" t="str">
        <x:v>https://support.microsoft.com/en-us/excel/excel-functions-alphabetical</x:v>
      </x:c>
    </x:row>
    <x:row r="10">
      <x:c r="A10" s="13" t="n">
        <x:v>9</x:v>
      </x:c>
      <x:c r="B10" s="13" t="str">
        <x:v>Conditional calculations</x:v>
      </x:c>
      <x:c r="C10" s="13" t="str">
        <x:v>Count records meeting several conditions</x:v>
      </x:c>
      <x:c r="D10" s="13" t="str">
        <x:v>COUNTIFS</x:v>
      </x:c>
      <x:c r="E10" s="13" t="str">
        <x:v>Sales</x:v>
      </x:c>
      <x:c r="F10" s="13" t="str">
        <x:v>2</x:v>
      </x:c>
      <x:c r="G10" s="13" t="str">
        <x:v>Formula</x:v>
      </x:c>
      <x:c r="H10" s="13" t="str">
        <x:v>Matches combined criteria count</x:v>
      </x:c>
      <x:c r="I10" s="13" t="str">
        <x:v>https://support.microsoft.com/en-us/excel/excel-functions-alphabetical</x:v>
      </x:c>
    </x:row>
    <x:row r="11">
      <x:c r="A11" s="13" t="n">
        <x:v>10</x:v>
      </x:c>
      <x:c r="B11" s="13" t="str">
        <x:v>Conditional calculations</x:v>
      </x:c>
      <x:c r="C11" s="13" t="str">
        <x:v>Average values matching a condition</x:v>
      </x:c>
      <x:c r="D11" s="13" t="str">
        <x:v>AVERAGEIF</x:v>
      </x:c>
      <x:c r="E11" s="13" t="str">
        <x:v>Sales</x:v>
      </x:c>
      <x:c r="F11" s="13" t="str">
        <x:v>2</x:v>
      </x:c>
      <x:c r="G11" s="13" t="str">
        <x:v>Formula</x:v>
      </x:c>
      <x:c r="H11" s="13" t="str">
        <x:v>Matches condition average</x:v>
      </x:c>
      <x:c r="I11" s="13" t="str">
        <x:v>https://support.microsoft.com/en-us/excel/excel-functions-alphabetical</x:v>
      </x:c>
    </x:row>
    <x:row r="12">
      <x:c r="A12" s="13" t="n">
        <x:v>11</x:v>
      </x:c>
      <x:c r="B12" s="13" t="str">
        <x:v>Business logic</x:v>
      </x:c>
      <x:c r="C12" s="13" t="str">
        <x:v>Automatically label results</x:v>
      </x:c>
      <x:c r="D12" s="13" t="str">
        <x:v>IF</x:v>
      </x:c>
      <x:c r="E12" s="13" t="str">
        <x:v>Sales</x:v>
      </x:c>
      <x:c r="F12" s="13" t="str">
        <x:v>2</x:v>
      </x:c>
      <x:c r="G12" s="13" t="str">
        <x:v>Formula</x:v>
      </x:c>
      <x:c r="H12" s="13" t="str">
        <x:v>Labels follow threshold</x:v>
      </x:c>
      <x:c r="I12" s="13" t="str">
        <x:v>https://support.microsoft.com/en-us/excel/excel-functions-alphabetical</x:v>
      </x:c>
    </x:row>
    <x:row r="13">
      <x:c r="A13" s="13" t="n">
        <x:v>12</x:v>
      </x:c>
      <x:c r="B13" s="13" t="str">
        <x:v>Business logic</x:v>
      </x:c>
      <x:c r="C13" s="13" t="str">
        <x:v>Handle several business rules</x:v>
      </x:c>
      <x:c r="D13" s="13" t="str">
        <x:v>IFS</x:v>
      </x:c>
      <x:c r="E13" s="13" t="str">
        <x:v>Employees</x:v>
      </x:c>
      <x:c r="F13" s="13" t="str">
        <x:v>2</x:v>
      </x:c>
      <x:c r="G13" s="13" t="str">
        <x:v>Formula</x:v>
      </x:c>
      <x:c r="H13" s="13" t="str">
        <x:v>Correct category for score</x:v>
      </x:c>
      <x:c r="I13" s="13" t="str">
        <x:v>https://support.microsoft.com/en-us/excel/excel-functions-alphabetical</x:v>
      </x:c>
    </x:row>
    <x:row r="14">
      <x:c r="A14" s="13" t="n">
        <x:v>13</x:v>
      </x:c>
      <x:c r="B14" s="13" t="str">
        <x:v>Business logic</x:v>
      </x:c>
      <x:c r="C14" s="13" t="str">
        <x:v>Combine conditions</x:v>
      </x:c>
      <x:c r="D14" s="13" t="str">
        <x:v>AND, OR</x:v>
      </x:c>
      <x:c r="E14" s="13" t="str">
        <x:v>Employees</x:v>
      </x:c>
      <x:c r="F14" s="13" t="str">
        <x:v>2</x:v>
      </x:c>
      <x:c r="G14" s="13" t="str">
        <x:v>Formula</x:v>
      </x:c>
      <x:c r="H14" s="13" t="str">
        <x:v>TRUE/FALSE matches rules</x:v>
      </x:c>
      <x:c r="I14" s="13" t="str">
        <x:v>https://support.microsoft.com/en-us/excel/excel-functions-alphabetical</x:v>
      </x:c>
    </x:row>
    <x:row r="15">
      <x:c r="A15" s="13" t="n">
        <x:v>14</x:v>
      </x:c>
      <x:c r="B15" s="13" t="str">
        <x:v>Business logic</x:v>
      </x:c>
      <x:c r="C15" s="13" t="str">
        <x:v>Stop ugly formula errors</x:v>
      </x:c>
      <x:c r="D15" s="13" t="str">
        <x:v>IFERROR</x:v>
      </x:c>
      <x:c r="E15" s="13" t="str">
        <x:v>Sales</x:v>
      </x:c>
      <x:c r="F15" s="13" t="str">
        <x:v>2</x:v>
      </x:c>
      <x:c r="G15" s="13" t="str">
        <x:v>Formula</x:v>
      </x:c>
      <x:c r="H15" s="13" t="str">
        <x:v>Friendly fallback on error</x:v>
      </x:c>
      <x:c r="I15" s="13" t="str">
        <x:v>https://support.microsoft.com/en-us/excel/functions/iferror-function</x:v>
      </x:c>
    </x:row>
    <x:row r="16">
      <x:c r="A16" s="13" t="n">
        <x:v>15</x:v>
      </x:c>
      <x:c r="B16" s="13" t="str">
        <x:v>Business logic</x:v>
      </x:c>
      <x:c r="C16" s="13" t="str">
        <x:v>Round calculated numbers properly</x:v>
      </x:c>
      <x:c r="D16" s="13" t="str">
        <x:v>ROUND</x:v>
      </x:c>
      <x:c r="E16" s="13" t="str">
        <x:v>Sales</x:v>
      </x:c>
      <x:c r="F16" s="13" t="str">
        <x:v>1</x:v>
      </x:c>
      <x:c r="G16" s="13" t="str">
        <x:v>Formula</x:v>
      </x:c>
      <x:c r="H16" s="13" t="str">
        <x:v>Expected decimal precision</x:v>
      </x:c>
      <x:c r="I16" s="13" t="str">
        <x:v>https://support.microsoft.com/en-us/excel/excel-functions-alphabetical</x:v>
      </x:c>
    </x:row>
    <x:row r="17">
      <x:c r="A17" s="13" t="n">
        <x:v>16</x:v>
      </x:c>
      <x:c r="B17" s="13" t="str">
        <x:v>Lookups</x:v>
      </x:c>
      <x:c r="C17" s="13" t="str">
        <x:v>Find a product from its ID</x:v>
      </x:c>
      <x:c r="D17" s="13" t="str">
        <x:v>XLOOKUP</x:v>
      </x:c>
      <x:c r="E17" s="13" t="str">
        <x:v>Products</x:v>
      </x:c>
      <x:c r="F17" s="13" t="str">
        <x:v>2</x:v>
      </x:c>
      <x:c r="G17" s="13" t="str">
        <x:v>Formula</x:v>
      </x:c>
      <x:c r="H17" s="13" t="str">
        <x:v>Returns matching product</x:v>
      </x:c>
      <x:c r="I17" s="13" t="str">
        <x:v>https://support.microsoft.com/en-us/excel/lookup-and-reference-functions-reference</x:v>
      </x:c>
    </x:row>
    <x:row r="18">
      <x:c r="A18" s="13" t="n">
        <x:v>17</x:v>
      </x:c>
      <x:c r="B18" s="13" t="str">
        <x:v>Lookups</x:v>
      </x:c>
      <x:c r="C18" s="13" t="str">
        <x:v>Retrieve a customer's information</x:v>
      </x:c>
      <x:c r="D18" s="13" t="str">
        <x:v>XLOOKUP</x:v>
      </x:c>
      <x:c r="E18" s="13" t="str">
        <x:v>Customers</x:v>
      </x:c>
      <x:c r="F18" s="13" t="str">
        <x:v>2</x:v>
      </x:c>
      <x:c r="G18" s="13" t="str">
        <x:v>Formula</x:v>
      </x:c>
      <x:c r="H18" s="13" t="str">
        <x:v>Returns matching customer</x:v>
      </x:c>
      <x:c r="I18" s="13" t="str">
        <x:v>https://support.microsoft.com/en-us/excel/lookup-and-reference-functions-reference</x:v>
      </x:c>
    </x:row>
    <x:row r="19">
      <x:c r="A19" s="13" t="n">
        <x:v>18</x:v>
      </x:c>
      <x:c r="B19" s="13" t="str">
        <x:v>Lookups</x:v>
      </x:c>
      <x:c r="C19" s="13" t="str">
        <x:v>Match records between two lists</x:v>
      </x:c>
      <x:c r="D19" s="13" t="str">
        <x:v>XLOOKUP</x:v>
      </x:c>
      <x:c r="E19" s="13" t="str">
        <x:v>Customers</x:v>
      </x:c>
      <x:c r="F19" s="13" t="str">
        <x:v>2</x:v>
      </x:c>
      <x:c r="G19" s="13" t="str">
        <x:v>Formula</x:v>
      </x:c>
      <x:c r="H19" s="13" t="str">
        <x:v>Correct matched value</x:v>
      </x:c>
      <x:c r="I19" s="13" t="str">
        <x:v>https://support.microsoft.com/en-us/excel/lookup-and-reference-functions-reference</x:v>
      </x:c>
    </x:row>
    <x:row r="20">
      <x:c r="A20" s="13" t="n">
        <x:v>19</x:v>
      </x:c>
      <x:c r="B20" s="13" t="str">
        <x:v>Lookups</x:v>
      </x:c>
      <x:c r="C20" s="13" t="str">
        <x:v>Identify records missing from another list</x:v>
      </x:c>
      <x:c r="D20" s="13" t="str">
        <x:v>XLOOKUP + IF</x:v>
      </x:c>
      <x:c r="E20" s="13" t="str">
        <x:v>Customers</x:v>
      </x:c>
      <x:c r="F20" s="13" t="str">
        <x:v>3</x:v>
      </x:c>
      <x:c r="G20" s="13" t="str">
        <x:v>Formula</x:v>
      </x:c>
      <x:c r="H20" s="13" t="str">
        <x:v>Missing records flagged</x:v>
      </x:c>
      <x:c r="I20" s="13" t="str">
        <x:v>https://support.microsoft.com/en-us/excel/lookup-and-reference-functions-reference</x:v>
      </x:c>
    </x:row>
    <x:row r="21">
      <x:c r="A21" s="13" t="n">
        <x:v>20</x:v>
      </x:c>
      <x:c r="B21" s="13" t="str">
        <x:v>Lookups</x:v>
      </x:c>
      <x:c r="C21" s="13" t="str">
        <x:v>Understand an older spreadsheet's lookup</x:v>
      </x:c>
      <x:c r="D21" s="13" t="str">
        <x:v>VLOOKUP</x:v>
      </x:c>
      <x:c r="E21" s="13" t="str">
        <x:v>Products</x:v>
      </x:c>
      <x:c r="F21" s="13" t="str">
        <x:v>2</x:v>
      </x:c>
      <x:c r="G21" s="13" t="str">
        <x:v>Formula</x:v>
      </x:c>
      <x:c r="H21" s="13" t="str">
        <x:v>Same lookup result as expected</x:v>
      </x:c>
      <x:c r="I21" s="13" t="str">
        <x:v>https://support.microsoft.com/en-us/excel/lookup-and-reference-functions-reference</x:v>
      </x:c>
    </x:row>
    <x:row r="22">
      <x:c r="A22" s="13" t="n">
        <x:v>21</x:v>
      </x:c>
      <x:c r="B22" s="13" t="str">
        <x:v>Clean text</x:v>
      </x:c>
      <x:c r="C22" s="13" t="str">
        <x:v>Remove accidental spaces</x:v>
      </x:c>
      <x:c r="D22" s="13" t="str">
        <x:v>TRIM</x:v>
      </x:c>
      <x:c r="E22" s="13" t="str">
        <x:v>Customers</x:v>
      </x:c>
      <x:c r="F22" s="13" t="str">
        <x:v>1</x:v>
      </x:c>
      <x:c r="G22" s="13" t="str">
        <x:v>Formula</x:v>
      </x:c>
      <x:c r="H22" s="13" t="str">
        <x:v>Leading and repeated spaces removed</x:v>
      </x:c>
      <x:c r="I22" s="13" t="str">
        <x:v>https://support.microsoft.com/en-us/excel/excel-functions-alphabetical</x:v>
      </x:c>
    </x:row>
    <x:row r="23">
      <x:c r="A23" s="13" t="n">
        <x:v>22</x:v>
      </x:c>
      <x:c r="B23" s="13" t="str">
        <x:v>Clean text</x:v>
      </x:c>
      <x:c r="C23" s="13" t="str">
        <x:v>Clean non-printing characters</x:v>
      </x:c>
      <x:c r="D23" s="13" t="str">
        <x:v>CLEAN</x:v>
      </x:c>
      <x:c r="E23" s="13" t="str">
        <x:v>Customers</x:v>
      </x:c>
      <x:c r="F23" s="13" t="str">
        <x:v>2</x:v>
      </x:c>
      <x:c r="G23" s="13" t="str">
        <x:v>Formula</x:v>
      </x:c>
      <x:c r="H23" s="13" t="str">
        <x:v>Non-printing characters removed</x:v>
      </x:c>
      <x:c r="I23" s="13" t="str">
        <x:v>https://support.microsoft.com/en-us/excel/excel-functions-alphabetical</x:v>
      </x:c>
    </x:row>
    <x:row r="24">
      <x:c r="A24" s="13" t="n">
        <x:v>23</x:v>
      </x:c>
      <x:c r="B24" s="13" t="str">
        <x:v>Clean text</x:v>
      </x:c>
      <x:c r="C24" s="13" t="str">
        <x:v>Standardize capitalization</x:v>
      </x:c>
      <x:c r="D24" s="13" t="str">
        <x:v>UPPER, LOWER, PROPER</x:v>
      </x:c>
      <x:c r="E24" s="13" t="str">
        <x:v>Customers</x:v>
      </x:c>
      <x:c r="F24" s="13" t="str">
        <x:v>1</x:v>
      </x:c>
      <x:c r="G24" s="13" t="str">
        <x:v>Formula</x:v>
      </x:c>
      <x:c r="H24" s="13" t="str">
        <x:v>Text case standardized</x:v>
      </x:c>
      <x:c r="I24" s="13" t="str">
        <x:v>https://support.microsoft.com/en-us/excel/excel-functions-alphabetical</x:v>
      </x:c>
    </x:row>
    <x:row r="25">
      <x:c r="A25" s="13" t="n">
        <x:v>24</x:v>
      </x:c>
      <x:c r="B25" s="13" t="str">
        <x:v>Clean text</x:v>
      </x:c>
      <x:c r="C25" s="13" t="str">
        <x:v>Extract part of a text value</x:v>
      </x:c>
      <x:c r="D25" s="13" t="str">
        <x:v>LEFT, RIGHT, MID</x:v>
      </x:c>
      <x:c r="E25" s="13" t="str">
        <x:v>Products</x:v>
      </x:c>
      <x:c r="F25" s="13" t="str">
        <x:v>2</x:v>
      </x:c>
      <x:c r="G25" s="13" t="str">
        <x:v>Formula</x:v>
      </x:c>
      <x:c r="H25" s="13" t="str">
        <x:v>Expected substring returned</x:v>
      </x:c>
      <x:c r="I25" s="13" t="str">
        <x:v>https://support.microsoft.com/en-us/excel/excel-functions-alphabetical</x:v>
      </x:c>
    </x:row>
    <x:row r="26">
      <x:c r="A26" s="13" t="n">
        <x:v>25</x:v>
      </x:c>
      <x:c r="B26" s="13" t="str">
        <x:v>Clean text</x:v>
      </x:c>
      <x:c r="C26" s="13" t="str">
        <x:v>Split text into useful pieces</x:v>
      </x:c>
      <x:c r="D26" s="13" t="str">
        <x:v>TEXTSPLIT</x:v>
      </x:c>
      <x:c r="E26" s="13" t="str">
        <x:v>Customers</x:v>
      </x:c>
      <x:c r="F26" s="13" t="str">
        <x:v>2</x:v>
      </x:c>
      <x:c r="G26" s="13" t="str">
        <x:v>Formula</x:v>
      </x:c>
      <x:c r="H26" s="13" t="str">
        <x:v>Text spills into expected parts</x:v>
      </x:c>
      <x:c r="I26" s="13" t="str">
        <x:v>https://support.microsoft.com/en-us/excel/excel-functions-alphabetical</x:v>
      </x:c>
    </x:row>
    <x:row r="27">
      <x:c r="A27" s="13" t="n">
        <x:v>26</x:v>
      </x:c>
      <x:c r="B27" s="13" t="str">
        <x:v>Clean text</x:v>
      </x:c>
      <x:c r="C27" s="13" t="str">
        <x:v>Combine names or values cleanly</x:v>
      </x:c>
      <x:c r="D27" s="13" t="str">
        <x:v>TEXTJOIN</x:v>
      </x:c>
      <x:c r="E27" s="13" t="str">
        <x:v>Customers</x:v>
      </x:c>
      <x:c r="F27" s="13" t="str">
        <x:v>2</x:v>
      </x:c>
      <x:c r="G27" s="13" t="str">
        <x:v>Formula</x:v>
      </x:c>
      <x:c r="H27" s="13" t="str">
        <x:v>Combined text matches expected</x:v>
      </x:c>
      <x:c r="I27" s="13" t="str">
        <x:v>https://support.microsoft.com/en-us/excel/excel-functions-alphabetical</x:v>
      </x:c>
    </x:row>
    <x:row r="28">
      <x:c r="A28" s="13" t="n">
        <x:v>27</x:v>
      </x:c>
      <x:c r="B28" s="13" t="str">
        <x:v>Clean text</x:v>
      </x:c>
      <x:c r="C28" s="13" t="str">
        <x:v>Find and replace inconsistent text</x:v>
      </x:c>
      <x:c r="D28" s="13" t="str">
        <x:v>Find and Replace</x:v>
      </x:c>
      <x:c r="E28" s="13" t="str">
        <x:v>Customers</x:v>
      </x:c>
      <x:c r="F28" s="13" t="str">
        <x:v>1</x:v>
      </x:c>
      <x:c r="G28" s="13" t="str">
        <x:v>Visual</x:v>
      </x:c>
      <x:c r="H28" s="13" t="str">
        <x:v>Selected text changed only where intended</x:v>
      </x:c>
      <x:c r="I28" s="13" t="str">
        <x:v>https://support.microsoft.com/en-us/office/find-or-replace-text-and-numbers-on-a-worksheet</x:v>
      </x:c>
    </x:row>
    <x:row r="29">
      <x:c r="A29" s="13" t="n">
        <x:v>28</x:v>
      </x:c>
      <x:c r="B29" s="13" t="str">
        <x:v>Clean text</x:v>
      </x:c>
      <x:c r="C29" s="13" t="str">
        <x:v>Find duplicate records</x:v>
      </x:c>
      <x:c r="D29" s="13" t="str">
        <x:v>Conditional Formatting</x:v>
      </x:c>
      <x:c r="E29" s="13" t="str">
        <x:v>Customers</x:v>
      </x:c>
      <x:c r="F29" s="13" t="str">
        <x:v>1</x:v>
      </x:c>
      <x:c r="G29" s="13" t="str">
        <x:v>Visual</x:v>
      </x:c>
      <x:c r="H29" s="13" t="str">
        <x:v>Known duplicates highlighted</x:v>
      </x:c>
      <x:c r="I29" s="13" t="str">
        <x:v>https://support.microsoft.com/en-us/office/find-and-remove-duplicates</x:v>
      </x:c>
    </x:row>
    <x:row r="30">
      <x:c r="A30" s="13" t="n">
        <x:v>29</x:v>
      </x:c>
      <x:c r="B30" s="13" t="str">
        <x:v>Clean text</x:v>
      </x:c>
      <x:c r="C30" s="13" t="str">
        <x:v>Safely remove duplicate records</x:v>
      </x:c>
      <x:c r="D30" s="13" t="str">
        <x:v>Remove Duplicates</x:v>
      </x:c>
      <x:c r="E30" s="13" t="str">
        <x:v>Customers</x:v>
      </x:c>
      <x:c r="F30" s="13" t="str">
        <x:v>1</x:v>
      </x:c>
      <x:c r="G30" s="13" t="str">
        <x:v>Feature</x:v>
      </x:c>
      <x:c r="H30" s="13" t="str">
        <x:v>Known duplicate rows removed</x:v>
      </x:c>
      <x:c r="I30" s="13" t="str">
        <x:v>https://support.microsoft.com/en-us/office/find-and-remove-duplicates</x:v>
      </x:c>
    </x:row>
    <x:row r="31">
      <x:c r="A31" s="13" t="n">
        <x:v>30</x:v>
      </x:c>
      <x:c r="B31" s="13" t="str">
        <x:v>Clean text</x:v>
      </x:c>
      <x:c r="C31" s="13" t="str">
        <x:v>Create a clean unique list</x:v>
      </x:c>
      <x:c r="D31" s="13" t="str">
        <x:v>UNIQUE</x:v>
      </x:c>
      <x:c r="E31" s="13" t="str">
        <x:v>Customers</x:v>
      </x:c>
      <x:c r="F31" s="13" t="str">
        <x:v>2</x:v>
      </x:c>
      <x:c r="G31" s="13" t="str">
        <x:v>Formula</x:v>
      </x:c>
      <x:c r="H31" s="13" t="str">
        <x:v>Unique list spills correctly</x:v>
      </x:c>
      <x:c r="I31" s="13" t="str">
        <x:v>https://support.microsoft.com/en-us/excel/lookup-and-reference-functions-reference</x:v>
      </x:c>
    </x:row>
    <x:row r="32">
      <x:c r="A32" s="13" t="n">
        <x:v>31</x:v>
      </x:c>
      <x:c r="B32" s="13" t="str">
        <x:v>Dates</x:v>
      </x:c>
      <x:c r="C32" s="13" t="str">
        <x:v>Insert today's date automatically</x:v>
      </x:c>
      <x:c r="D32" s="13" t="str">
        <x:v>TODAY</x:v>
      </x:c>
      <x:c r="E32" s="13" t="str">
        <x:v>Projects</x:v>
      </x:c>
      <x:c r="F32" s="13" t="str">
        <x:v>1</x:v>
      </x:c>
      <x:c r="G32" s="13" t="str">
        <x:v>Formula</x:v>
      </x:c>
      <x:c r="H32" s="13" t="str">
        <x:v>Current date returned</x:v>
      </x:c>
      <x:c r="I32" s="13" t="str">
        <x:v>https://support.microsoft.com/en-us/excel/excel-functions-alphabetical</x:v>
      </x:c>
    </x:row>
    <x:row r="33">
      <x:c r="A33" s="13" t="n">
        <x:v>32</x:v>
      </x:c>
      <x:c r="B33" s="13" t="str">
        <x:v>Dates</x:v>
      </x:c>
      <x:c r="C33" s="13" t="str">
        <x:v>Calculate days between dates</x:v>
      </x:c>
      <x:c r="D33" s="13" t="str">
        <x:v>Date subtraction</x:v>
      </x:c>
      <x:c r="E33" s="13" t="str">
        <x:v>Projects</x:v>
      </x:c>
      <x:c r="F33" s="13" t="str">
        <x:v>1</x:v>
      </x:c>
      <x:c r="G33" s="13" t="str">
        <x:v>Formula</x:v>
      </x:c>
      <x:c r="H33" s="13" t="str">
        <x:v>Calendar day difference</x:v>
      </x:c>
      <x:c r="I33" s="13" t="str">
        <x:v>https://support.microsoft.com/en-us/excel/get-started/overview-of-formulas-in-excel</x:v>
      </x:c>
    </x:row>
    <x:row r="34">
      <x:c r="A34" s="13" t="n">
        <x:v>33</x:v>
      </x:c>
      <x:c r="B34" s="13" t="str">
        <x:v>Dates</x:v>
      </x:c>
      <x:c r="C34" s="13" t="str">
        <x:v>Calculate working days</x:v>
      </x:c>
      <x:c r="D34" s="13" t="str">
        <x:v>NETWORKDAYS</x:v>
      </x:c>
      <x:c r="E34" s="13" t="str">
        <x:v>Projects</x:v>
      </x:c>
      <x:c r="F34" s="13" t="str">
        <x:v>2</x:v>
      </x:c>
      <x:c r="G34" s="13" t="str">
        <x:v>Formula</x:v>
      </x:c>
      <x:c r="H34" s="13" t="str">
        <x:v>Weekends and listed holidays excluded</x:v>
      </x:c>
      <x:c r="I34" s="13" t="str">
        <x:v>https://support.microsoft.com/en-us/excel/functions/networkdays-function</x:v>
      </x:c>
    </x:row>
    <x:row r="35">
      <x:c r="A35" s="13" t="n">
        <x:v>34</x:v>
      </x:c>
      <x:c r="B35" s="13" t="str">
        <x:v>Dates</x:v>
      </x:c>
      <x:c r="C35" s="13" t="str">
        <x:v>Calculate a deadline</x:v>
      </x:c>
      <x:c r="D35" s="13" t="str">
        <x:v>WORKDAY</x:v>
      </x:c>
      <x:c r="E35" s="13" t="str">
        <x:v>Projects</x:v>
      </x:c>
      <x:c r="F35" s="13" t="str">
        <x:v>2</x:v>
      </x:c>
      <x:c r="G35" s="13" t="str">
        <x:v>Formula</x:v>
      </x:c>
      <x:c r="H35" s="13" t="str">
        <x:v>Deadline excludes weekends and holidays</x:v>
      </x:c>
      <x:c r="I35" s="13" t="str">
        <x:v>https://support.microsoft.com/en-us/excel/excel-functions-alphabetical</x:v>
      </x:c>
    </x:row>
    <x:row r="36">
      <x:c r="A36" s="13" t="n">
        <x:v>35</x:v>
      </x:c>
      <x:c r="B36" s="13" t="str">
        <x:v>Dates</x:v>
      </x:c>
      <x:c r="C36" s="13" t="str">
        <x:v>Find month-end dates</x:v>
      </x:c>
      <x:c r="D36" s="13" t="str">
        <x:v>EOMONTH</x:v>
      </x:c>
      <x:c r="E36" s="13" t="str">
        <x:v>Expenses</x:v>
      </x:c>
      <x:c r="F36" s="13" t="str">
        <x:v>2</x:v>
      </x:c>
      <x:c r="G36" s="13" t="str">
        <x:v>Formula</x:v>
      </x:c>
      <x:c r="H36" s="13" t="str">
        <x:v>Last day of month returned</x:v>
      </x:c>
      <x:c r="I36" s="13" t="str">
        <x:v>https://support.microsoft.com/en-us/excel/excel-functions-alphabetical</x:v>
      </x:c>
    </x:row>
    <x:row r="37">
      <x:c r="A37" s="13" t="n">
        <x:v>36</x:v>
      </x:c>
      <x:c r="B37" s="13" t="str">
        <x:v>Dates</x:v>
      </x:c>
      <x:c r="C37" s="13" t="str">
        <x:v>Highlight overdue work</x:v>
      </x:c>
      <x:c r="D37" s="13" t="str">
        <x:v>Conditional Formatting</x:v>
      </x:c>
      <x:c r="E37" s="13" t="str">
        <x:v>Projects</x:v>
      </x:c>
      <x:c r="F37" s="13" t="str">
        <x:v>2</x:v>
      </x:c>
      <x:c r="G37" s="13" t="str">
        <x:v>Visual</x:v>
      </x:c>
      <x:c r="H37" s="13" t="str">
        <x:v>Overdue incomplete rows highlighted</x:v>
      </x:c>
      <x:c r="I37" s="13" t="str">
        <x:v>https://support.microsoft.com/en-us/office/use-conditional-formatting-to-highlight-information</x:v>
      </x:c>
    </x:row>
    <x:row r="38">
      <x:c r="A38" s="13" t="n">
        <x:v>37</x:v>
      </x:c>
      <x:c r="B38" s="13" t="str">
        <x:v>Lists</x:v>
      </x:c>
      <x:c r="C38" s="13" t="str">
        <x:v>Convert raw data into a proper table</x:v>
      </x:c>
      <x:c r="D38" s="13" t="str">
        <x:v>Excel Table</x:v>
      </x:c>
      <x:c r="E38" s="13" t="str">
        <x:v>Sales</x:v>
      </x:c>
      <x:c r="F38" s="13" t="str">
        <x:v>1</x:v>
      </x:c>
      <x:c r="G38" s="13" t="str">
        <x:v>Visual</x:v>
      </x:c>
      <x:c r="H38" s="13" t="str">
        <x:v>Table headers and filters present</x:v>
      </x:c>
      <x:c r="I38" s="13" t="str">
        <x:v>https://support.microsoft.com/en-us/office/create-and-format-tables</x:v>
      </x:c>
    </x:row>
    <x:row r="39">
      <x:c r="A39" s="13" t="n">
        <x:v>38</x:v>
      </x:c>
      <x:c r="B39" s="13" t="str">
        <x:v>Lists</x:v>
      </x:c>
      <x:c r="C39" s="13" t="str">
        <x:v>Sort using multiple criteria</x:v>
      </x:c>
      <x:c r="D39" s="13" t="str">
        <x:v>Custom Sort</x:v>
      </x:c>
      <x:c r="E39" s="13" t="str">
        <x:v>Sales</x:v>
      </x:c>
      <x:c r="F39" s="13" t="str">
        <x:v>2</x:v>
      </x:c>
      <x:c r="G39" s="13" t="str">
        <x:v>Feature</x:v>
      </x:c>
      <x:c r="H39" s="13" t="str">
        <x:v>Rows ordered by chosen keys</x:v>
      </x:c>
      <x:c r="I39" s="13" t="str">
        <x:v>https://support.microsoft.com/en-us/office/sort-data-in-a-range-or-table</x:v>
      </x:c>
    </x:row>
    <x:row r="40">
      <x:c r="A40" s="13" t="n">
        <x:v>39</x:v>
      </x:c>
      <x:c r="B40" s="13" t="str">
        <x:v>Lists</x:v>
      </x:c>
      <x:c r="C40" s="13" t="str">
        <x:v>Show only records you need</x:v>
      </x:c>
      <x:c r="D40" s="13" t="str">
        <x:v>Filters</x:v>
      </x:c>
      <x:c r="E40" s="13" t="str">
        <x:v>Sales</x:v>
      </x:c>
      <x:c r="F40" s="13" t="str">
        <x:v>1</x:v>
      </x:c>
      <x:c r="G40" s="13" t="str">
        <x:v>Feature</x:v>
      </x:c>
      <x:c r="H40" s="13" t="str">
        <x:v>Only matching rows visible</x:v>
      </x:c>
      <x:c r="I40" s="13" t="str">
        <x:v>https://support.microsoft.com/en-us/office/filter-data-in-a-range-or-table</x:v>
      </x:c>
    </x:row>
    <x:row r="41">
      <x:c r="A41" s="13" t="n">
        <x:v>40</x:v>
      </x:c>
      <x:c r="B41" s="13" t="str">
        <x:v>Lists</x:v>
      </x:c>
      <x:c r="C41" s="13" t="str">
        <x:v>Produce a filtered result automatically</x:v>
      </x:c>
      <x:c r="D41" s="13" t="str">
        <x:v>FILTER</x:v>
      </x:c>
      <x:c r="E41" s="13" t="str">
        <x:v>Sales</x:v>
      </x:c>
      <x:c r="F41" s="13" t="str">
        <x:v>2</x:v>
      </x:c>
      <x:c r="G41" s="13" t="str">
        <x:v>Formula</x:v>
      </x:c>
      <x:c r="H41" s="13" t="str">
        <x:v>Matching rows spill into result</x:v>
      </x:c>
      <x:c r="I41" s="13" t="str">
        <x:v>https://support.microsoft.com/en-us/excel/lookup-and-reference-functions-reference</x:v>
      </x:c>
    </x:row>
    <x:row r="42">
      <x:c r="A42" s="13" t="n">
        <x:v>41</x:v>
      </x:c>
      <x:c r="B42" s="13" t="str">
        <x:v>Lists</x:v>
      </x:c>
      <x:c r="C42" s="13" t="str">
        <x:v>Create a drop-down selector</x:v>
      </x:c>
      <x:c r="D42" s="13" t="str">
        <x:v>Data Validation</x:v>
      </x:c>
      <x:c r="E42" s="13" t="str">
        <x:v>Projects</x:v>
      </x:c>
      <x:c r="F42" s="13" t="str">
        <x:v>2</x:v>
      </x:c>
      <x:c r="G42" s="13" t="str">
        <x:v>Visual</x:v>
      </x:c>
      <x:c r="H42" s="13" t="str">
        <x:v>Allowed choices shown</x:v>
      </x:c>
      <x:c r="I42" s="13" t="str">
        <x:v>https://support.microsoft.com/en-us/office/apply-data-validation-to-cells</x:v>
      </x:c>
    </x:row>
    <x:row r="43">
      <x:c r="A43" s="13" t="n">
        <x:v>42</x:v>
      </x:c>
      <x:c r="B43" s="13" t="str">
        <x:v>Lists</x:v>
      </x:c>
      <x:c r="C43" s="13" t="str">
        <x:v>Prevent invalid data entry</x:v>
      </x:c>
      <x:c r="D43" s="13" t="str">
        <x:v>Data Validation</x:v>
      </x:c>
      <x:c r="E43" s="13" t="str">
        <x:v>Expenses</x:v>
      </x:c>
      <x:c r="F43" s="13" t="str">
        <x:v>2</x:v>
      </x:c>
      <x:c r="G43" s="13" t="str">
        <x:v>Feature</x:v>
      </x:c>
      <x:c r="H43" s="13" t="str">
        <x:v>Invalid entry rejected or warned</x:v>
      </x:c>
      <x:c r="I43" s="13" t="str">
        <x:v>https://support.microsoft.com/en-us/office/apply-data-validation-to-cells</x:v>
      </x:c>
    </x:row>
    <x:row r="44">
      <x:c r="A44" s="13" t="n">
        <x:v>43</x:v>
      </x:c>
      <x:c r="B44" s="13" t="str">
        <x:v>Lists</x:v>
      </x:c>
      <x:c r="C44" s="13" t="str">
        <x:v>Calculate totals that respect filters</x:v>
      </x:c>
      <x:c r="D44" s="13" t="str">
        <x:v>SUBTOTAL</x:v>
      </x:c>
      <x:c r="E44" s="13" t="str">
        <x:v>Sales</x:v>
      </x:c>
      <x:c r="F44" s="13" t="str">
        <x:v>2</x:v>
      </x:c>
      <x:c r="G44" s="13" t="str">
        <x:v>Formula</x:v>
      </x:c>
      <x:c r="H44" s="13" t="str">
        <x:v>Filtered-out rows excluded</x:v>
      </x:c>
      <x:c r="I44" s="13" t="str">
        <x:v>https://support.microsoft.com/en-us/excel/excel-functions-alphabetical</x:v>
      </x:c>
    </x:row>
    <x:row r="45">
      <x:c r="A45" s="13" t="n">
        <x:v>44</x:v>
      </x:c>
      <x:c r="B45" s="13" t="str">
        <x:v>Analysis</x:v>
      </x:c>
      <x:c r="C45" s="13" t="str">
        <x:v>Summarize thousands of rows</x:v>
      </x:c>
      <x:c r="D45" s="13" t="str">
        <x:v>PivotTable</x:v>
      </x:c>
      <x:c r="E45" s="13" t="str">
        <x:v>Sales</x:v>
      </x:c>
      <x:c r="F45" s="13" t="str">
        <x:v>2</x:v>
      </x:c>
      <x:c r="G45" s="13" t="str">
        <x:v>Feature</x:v>
      </x:c>
      <x:c r="H45" s="13" t="str">
        <x:v>Pivot totals match source data</x:v>
      </x:c>
      <x:c r="I45" s="13" t="str">
        <x:v>https://support.microsoft.com/en-us/office/create-a-pivottable-to-analyze-worksheet-data</x:v>
      </x:c>
    </x:row>
    <x:row r="46">
      <x:c r="A46" s="13" t="n">
        <x:v>45</x:v>
      </x:c>
      <x:c r="B46" s="13" t="str">
        <x:v>Analysis</x:v>
      </x:c>
      <x:c r="C46" s="13" t="str">
        <x:v>Compare sales by region and product</x:v>
      </x:c>
      <x:c r="D46" s="13" t="str">
        <x:v>PivotTable</x:v>
      </x:c>
      <x:c r="E46" s="13" t="str">
        <x:v>Sales</x:v>
      </x:c>
      <x:c r="F46" s="13" t="str">
        <x:v>2</x:v>
      </x:c>
      <x:c r="G46" s="13" t="str">
        <x:v>Feature</x:v>
      </x:c>
      <x:c r="H46" s="13" t="str">
        <x:v>Cross-tab totals reconcile</x:v>
      </x:c>
      <x:c r="I46" s="13" t="str">
        <x:v>https://support.microsoft.com/en-us/office/create-a-pivottable-to-analyze-worksheet-data</x:v>
      </x:c>
    </x:row>
    <x:row r="47">
      <x:c r="A47" s="13" t="n">
        <x:v>46</x:v>
      </x:c>
      <x:c r="B47" s="13" t="str">
        <x:v>Analysis</x:v>
      </x:c>
      <x:c r="C47" s="13" t="str">
        <x:v>Find top and bottom performers</x:v>
      </x:c>
      <x:c r="D47" s="13" t="str">
        <x:v>Sort + Conditional Formatting</x:v>
      </x:c>
      <x:c r="E47" s="13" t="str">
        <x:v>Sales</x:v>
      </x:c>
      <x:c r="F47" s="13" t="str">
        <x:v>2</x:v>
      </x:c>
      <x:c r="G47" s="13" t="str">
        <x:v>Feature</x:v>
      </x:c>
      <x:c r="H47" s="13" t="str">
        <x:v>Top/bottom records correctly identified</x:v>
      </x:c>
      <x:c r="I47" s="13" t="str">
        <x:v>https://support.microsoft.com/en-us/office/use-conditional-formatting-to-highlight-information</x:v>
      </x:c>
    </x:row>
    <x:row r="48">
      <x:c r="A48" s="13" t="n">
        <x:v>47</x:v>
      </x:c>
      <x:c r="B48" s="13" t="str">
        <x:v>Reporting</x:v>
      </x:c>
      <x:c r="C48" s="13" t="str">
        <x:v>Build a useful business chart</x:v>
      </x:c>
      <x:c r="D48" s="13" t="str">
        <x:v>Column or line chart</x:v>
      </x:c>
      <x:c r="E48" s="13" t="str">
        <x:v>Sales</x:v>
      </x:c>
      <x:c r="F48" s="13" t="str">
        <x:v>1</x:v>
      </x:c>
      <x:c r="G48" s="13" t="str">
        <x:v>Visual</x:v>
      </x:c>
      <x:c r="H48" s="13" t="str">
        <x:v>Chart communicates trend or comparison clearly</x:v>
      </x:c>
      <x:c r="I48" s="13" t="str">
        <x:v>https://support.microsoft.com/en-us/office/create-a-chart-from-start-to-finish</x:v>
      </x:c>
    </x:row>
    <x:row r="49">
      <x:c r="A49" s="13" t="n">
        <x:v>48</x:v>
      </x:c>
      <x:c r="B49" s="13" t="str">
        <x:v>Reporting</x:v>
      </x:c>
      <x:c r="C49" s="13" t="str">
        <x:v>Show progress against a target</x:v>
      </x:c>
      <x:c r="D49" s="13" t="str">
        <x:v>Formula + Conditional Formatting</x:v>
      </x:c>
      <x:c r="E49" s="13" t="str">
        <x:v>Sales</x:v>
      </x:c>
      <x:c r="F49" s="13" t="str">
        <x:v>2</x:v>
      </x:c>
      <x:c r="G49" s="13" t="str">
        <x:v>Formula + visual</x:v>
      </x:c>
      <x:c r="H49" s="13" t="str">
        <x:v>Variance and status agree</x:v>
      </x:c>
      <x:c r="I49" s="13" t="str">
        <x:v>https://support.microsoft.com/en-us/office/use-conditional-formatting-to-highlight-information</x:v>
      </x:c>
    </x:row>
    <x:row r="50">
      <x:c r="A50" s="13" t="n">
        <x:v>49</x:v>
      </x:c>
      <x:c r="B50" s="13" t="str">
        <x:v>Reporting</x:v>
      </x:c>
      <x:c r="C50" s="13" t="str">
        <x:v>Create a simple KPI summary</x:v>
      </x:c>
      <x:c r="D50" s="13" t="str">
        <x:v>Multiple</x:v>
      </x:c>
      <x:c r="E50" s="13" t="str">
        <x:v>Sales</x:v>
      </x:c>
      <x:c r="F50" s="13" t="str">
        <x:v>3</x:v>
      </x:c>
      <x:c r="G50" s="13" t="str">
        <x:v>Formula</x:v>
      </x:c>
      <x:c r="H50" s="13" t="str">
        <x:v>KPIs reconcile to Sales source</x:v>
      </x:c>
      <x:c r="I50" s="13" t="str">
        <x:v>https://support.microsoft.com/en-us/excel/get-started/overview-of-formulas-in-excel</x:v>
      </x:c>
    </x:row>
    <x:row r="51">
      <x:c r="A51" s="13" t="n">
        <x:v>50</x:v>
      </x:c>
      <x:c r="B51" s="13" t="str">
        <x:v>Reporting</x:v>
      </x:c>
      <x:c r="C51" s="13" t="str">
        <x:v>Build a monthly management report</x:v>
      </x:c>
      <x:c r="D51" s="13" t="str">
        <x:v>Multiple</x:v>
      </x:c>
      <x:c r="E51" s="13" t="str">
        <x:v>Sales</x:v>
      </x:c>
      <x:c r="F51" s="13" t="str">
        <x:v>3</x:v>
      </x:c>
      <x:c r="G51" s="13" t="str">
        <x:v>End-to-end</x:v>
      </x:c>
      <x:c r="H51" s="13" t="str">
        <x:v>All report figures reconcile to source</x:v>
      </x:c>
      <x:c r="I51" s="13" t="str">
        <x:v>https://support.microsoft.com/en-us/excel/get-started/overview-of-formulas-in-excel</x:v>
      </x:c>
    </x:row>
  </x:sheetData>
  <x:pageMargins left="0.7" right="0.7" top="0.75" bottom="0.75" header="0.3" footer="0.3"/>
  <x:tableParts count="1">
    <x:tablePart xmlns:r="http://schemas.openxmlformats.org/officeDocument/2006/relationships" r:id="R74e88212397d4a3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48" hidden="0" customWidth="1"/>
    <x:col min="5" max="5" width="34" hidden="0" customWidth="1"/>
    <x:col min="6" max="6" width="24" hidden="0" customWidth="1"/>
    <x:col min="7" max="7" width="12" hidden="0" customWidth="1"/>
  </x:cols>
  <x:sheetData>
    <x:row r="1" ht="26.399999618530273" hidden="0" customHeight="1">
      <x:c r="A1" s="46" t="str">
        <x:v>Case</x:v>
      </x:c>
      <x:c r="B1" s="46" t="str">
        <x:v>Book item</x:v>
      </x:c>
      <x:c r="C1" s="46" t="str">
        <x:v>Test description</x:v>
      </x:c>
      <x:c r="D1" s="46" t="str">
        <x:v>Formula or action</x:v>
      </x:c>
      <x:c r="E1" s="46" t="str">
        <x:v>Expected result</x:v>
      </x:c>
      <x:c r="F1" s="46" t="str">
        <x:v>Verification</x:v>
      </x:c>
      <x:c r="G1" s="46" t="str">
        <x:v>Status</x:v>
      </x:c>
      <x:c r="H1" s="45"/>
    </x:row>
    <x:row r="2" ht="32" hidden="0" customHeight="1">
      <x:c r="A2" s="13" t="str">
        <x:v>QA-001</x:v>
      </x:c>
      <x:c r="B2" s="13" t="n">
        <x:v>1</x:v>
      </x:c>
      <x:c r="C2" s="13" t="str">
        <x:v>Total all expense amounts</x:v>
      </x:c>
      <x:c r="D2" s="13" t="str">
        <x:v>=SUM(Expenses!F2:F151)</x:v>
      </x:c>
      <x:c r="E2" s="42" t="n">
        <x:v>163451.91</x:v>
      </x:c>
      <x:c r="F2" s="13" t="str">
        <x:v>Formula result</x:v>
      </x:c>
      <x:c r="G2" s="13" t="str">
        <x:v>PASS</x:v>
      </x:c>
      <x:c r="H2"/>
    </x:row>
    <x:row r="3" ht="32" hidden="0" customHeight="1">
      <x:c r="A3" s="13" t="str">
        <x:v>QA-002</x:v>
      </x:c>
      <x:c r="B3" s="13" t="n">
        <x:v>2</x:v>
      </x:c>
      <x:c r="C3" s="13" t="str">
        <x:v>Average completed order revenue</x:v>
      </x:c>
      <x:c r="D3" s="13" t="str">
        <x:v>=AVERAGEIF(Sales!K2:K501,"Completed",Sales!J2:J501)</x:v>
      </x:c>
      <x:c r="E3" s="42" t="n">
        <x:v>193.3</x:v>
      </x:c>
      <x:c r="F3" s="13" t="str">
        <x:v>Formula result</x:v>
      </x:c>
      <x:c r="G3" s="13" t="str">
        <x:v>PASS</x:v>
      </x:c>
      <x:c r="H3"/>
    </x:row>
    <x:row r="4" ht="32" hidden="0" customHeight="1">
      <x:c r="A4" s="13" t="str">
        <x:v>QA-003</x:v>
      </x:c>
      <x:c r="B4" s="13" t="n">
        <x:v>3</x:v>
      </x:c>
      <x:c r="C4" s="13" t="str">
        <x:v>Highest and lowest sale</x:v>
      </x:c>
      <x:c r="D4" s="13" t="str">
        <x:v>=MAX(Sales!J2:J501) / =MIN(Sales!J2:J501)</x:v>
      </x:c>
      <x:c r="E4" s="42" t="str">
        <x:v>Max 818.12; Min 10.76</x:v>
      </x:c>
      <x:c r="F4" s="13" t="str">
        <x:v>Formula result</x:v>
      </x:c>
      <x:c r="G4" s="13" t="str">
        <x:v>PASS</x:v>
      </x:c>
      <x:c r="H4"/>
    </x:row>
    <x:row r="5" ht="32" hidden="0" customHeight="1">
      <x:c r="A5" s="13" t="str">
        <x:v>QA-004</x:v>
      </x:c>
      <x:c r="B5" s="13" t="n">
        <x:v>4</x:v>
      </x:c>
      <x:c r="C5" s="13" t="str">
        <x:v>Percentage change from 800 to 920</x:v>
      </x:c>
      <x:c r="D5" s="13" t="str">
        <x:v>=(920-800)/800</x:v>
      </x:c>
      <x:c r="E5" s="42" t="str">
        <x:v>15.0%</x:v>
      </x:c>
      <x:c r="F5" s="13" t="str">
        <x:v>Formula result</x:v>
      </x:c>
      <x:c r="G5" s="13" t="str">
        <x:v>PASS</x:v>
      </x:c>
      <x:c r="H5"/>
    </x:row>
    <x:row r="6" ht="32" hidden="0" customHeight="1">
      <x:c r="A6" s="13" t="str">
        <x:v>QA-005</x:v>
      </x:c>
      <x:c r="B6" s="13" t="n">
        <x:v>5</x:v>
      </x:c>
      <x:c r="C6" s="13" t="str">
        <x:v>Freeze top row on Sales</x:v>
      </x:c>
      <x:c r="D6" s="13" t="str">
        <x:v>View &gt; Freeze Panes &gt; Freeze Top Row</x:v>
      </x:c>
      <x:c r="E6" s="42" t="str">
        <x:v>Header remains visible when scrolling</x:v>
      </x:c>
      <x:c r="F6" s="13" t="str">
        <x:v>Visual check</x:v>
      </x:c>
      <x:c r="G6" s="13" t="str">
        <x:v>MANUAL</x:v>
      </x:c>
      <x:c r="H6"/>
    </x:row>
    <x:row r="7" ht="32" hidden="0" customHeight="1">
      <x:c r="A7" s="13" t="str">
        <x:v>QA-006</x:v>
      </x:c>
      <x:c r="B7" s="13" t="n">
        <x:v>6</x:v>
      </x:c>
      <x:c r="C7" s="13" t="str">
        <x:v>Toronto revenue</x:v>
      </x:c>
      <x:c r="D7" s="13" t="str">
        <x:v>=SUMIF(Sales!E2:E501,"Toronto",Sales!J2:J501)</x:v>
      </x:c>
      <x:c r="E7" s="42" t="n">
        <x:v>15926.24</x:v>
      </x:c>
      <x:c r="F7" s="13" t="str">
        <x:v>Formula result</x:v>
      </x:c>
      <x:c r="G7" s="13" t="str">
        <x:v>PASS</x:v>
      </x:c>
      <x:c r="H7"/>
    </x:row>
    <x:row r="8" ht="32" hidden="0" customHeight="1">
      <x:c r="A8" s="13" t="str">
        <x:v>QA-007</x:v>
      </x:c>
      <x:c r="B8" s="13" t="n">
        <x:v>7</x:v>
      </x:c>
      <x:c r="C8" s="13" t="str">
        <x:v>Completed Toronto revenue</x:v>
      </x:c>
      <x:c r="D8" s="13" t="str">
        <x:v>=SUMIFS(Sales!J2:J501,Sales!E2:E501,"Toronto",Sales!K2:K501,"Completed")</x:v>
      </x:c>
      <x:c r="E8" s="42" t="n">
        <x:v>10709.09</x:v>
      </x:c>
      <x:c r="F8" s="13" t="str">
        <x:v>Formula result</x:v>
      </x:c>
      <x:c r="G8" s="13" t="str">
        <x:v>PASS</x:v>
      </x:c>
      <x:c r="H8"/>
    </x:row>
    <x:row r="9" ht="32" hidden="0" customHeight="1">
      <x:c r="A9" s="13" t="str">
        <x:v>QA-008</x:v>
      </x:c>
      <x:c r="B9" s="13" t="n">
        <x:v>8</x:v>
      </x:c>
      <x:c r="C9" s="13" t="str">
        <x:v>Pending order count</x:v>
      </x:c>
      <x:c r="D9" s="13" t="str">
        <x:v>=COUNTIF(Sales!K2:K501,"Pending")</x:v>
      </x:c>
      <x:c r="E9" s="42" t="n">
        <x:v>88</x:v>
      </x:c>
      <x:c r="F9" s="13" t="str">
        <x:v>Formula result</x:v>
      </x:c>
      <x:c r="G9" s="13" t="str">
        <x:v>PASS</x:v>
      </x:c>
      <x:c r="H9"/>
    </x:row>
    <x:row r="10" ht="32" hidden="0" customHeight="1">
      <x:c r="A10" s="13" t="str">
        <x:v>QA-009</x:v>
      </x:c>
      <x:c r="B10" s="13" t="n">
        <x:v>9</x:v>
      </x:c>
      <x:c r="C10" s="13" t="str">
        <x:v>Completed orders in GTA West</x:v>
      </x:c>
      <x:c r="D10" s="13" t="str">
        <x:v>=COUNTIFS(Sales!E2:E501,"GTA West",Sales!K2:K501,"Completed")</x:v>
      </x:c>
      <x:c r="E10" s="42" t="n">
        <x:v>79</x:v>
      </x:c>
      <x:c r="F10" s="13" t="str">
        <x:v>Formula result</x:v>
      </x:c>
      <x:c r="G10" s="13" t="str">
        <x:v>PASS</x:v>
      </x:c>
      <x:c r="H10"/>
    </x:row>
    <x:row r="11" ht="32" hidden="0" customHeight="1">
      <x:c r="A11" s="13" t="str">
        <x:v>QA-010</x:v>
      </x:c>
      <x:c r="B11" s="13" t="n">
        <x:v>10</x:v>
      </x:c>
      <x:c r="C11" s="13" t="str">
        <x:v>Average Toronto order revenue</x:v>
      </x:c>
      <x:c r="D11" s="13" t="str">
        <x:v>=AVERAGEIF(Sales!E2:E501,"Toronto",Sales!J2:J501)</x:v>
      </x:c>
      <x:c r="E11" s="42" t="n">
        <x:v>204.18</x:v>
      </x:c>
      <x:c r="F11" s="13" t="str">
        <x:v>Formula result</x:v>
      </x:c>
      <x:c r="G11" s="13" t="str">
        <x:v>PASS</x:v>
      </x:c>
      <x:c r="H11"/>
    </x:row>
    <x:row r="12" ht="32" hidden="0" customHeight="1">
      <x:c r="A12" s="13" t="str">
        <x:v>QA-011</x:v>
      </x:c>
      <x:c r="B12" s="13" t="n">
        <x:v>11</x:v>
      </x:c>
      <x:c r="C12" s="13" t="str">
        <x:v>Orders above $500</x:v>
      </x:c>
      <x:c r="D12" s="13" t="str">
        <x:v>=COUNTIF(Sales!J2:J501,"&gt;500")</x:v>
      </x:c>
      <x:c r="E12" s="42" t="n">
        <x:v>18</x:v>
      </x:c>
      <x:c r="F12" s="13" t="str">
        <x:v>Formula result</x:v>
      </x:c>
      <x:c r="G12" s="13" t="str">
        <x:v>PASS</x:v>
      </x:c>
      <x:c r="H12"/>
    </x:row>
    <x:row r="13" ht="32" hidden="0" customHeight="1">
      <x:c r="A13" s="13" t="str">
        <x:v>QA-012</x:v>
      </x:c>
      <x:c r="B13" s="13" t="n">
        <x:v>12</x:v>
      </x:c>
      <x:c r="C13" s="13" t="str">
        <x:v>IFS performance band for first employee</x:v>
      </x:c>
      <x:c r="D13" s="13" t="str">
        <x:v>Use thresholds 4.5, 4.0, 3.0</x:v>
      </x:c>
      <x:c r="E13" s="42" t="str">
        <x:v>Check against Employees!F2</x:v>
      </x:c>
      <x:c r="F13" s="13" t="str">
        <x:v>Formula logic</x:v>
      </x:c>
      <x:c r="G13" s="13" t="str">
        <x:v>PASS</x:v>
      </x:c>
      <x:c r="H13"/>
    </x:row>
    <x:row r="14" ht="32" hidden="0" customHeight="1">
      <x:c r="A14" s="13" t="str">
        <x:v>QA-013</x:v>
      </x:c>
      <x:c r="B14" s="13" t="n">
        <x:v>13</x:v>
      </x:c>
      <x:c r="C14" s="13" t="str">
        <x:v>AND/OR rule</x:v>
      </x:c>
      <x:c r="D14" s="13" t="str">
        <x:v>Flag High priority projects that are not Complete</x:v>
      </x:c>
      <x:c r="E14" s="42" t="str">
        <x:v>Check filtered Project rows</x:v>
      </x:c>
      <x:c r="F14" s="13" t="str">
        <x:v>Feature/formula check</x:v>
      </x:c>
      <x:c r="G14" s="13" t="str">
        <x:v>PASS</x:v>
      </x:c>
      <x:c r="H14"/>
    </x:row>
    <x:row r="15" ht="32" hidden="0" customHeight="1">
      <x:c r="A15" s="13" t="str">
        <x:v>QA-014</x:v>
      </x:c>
      <x:c r="B15" s="13" t="n">
        <x:v>14</x:v>
      </x:c>
      <x:c r="C15" s="13" t="str">
        <x:v>Missing product handled cleanly</x:v>
      </x:c>
      <x:c r="D15" s="13" t="str">
        <x:v>=IFERROR(XLOOKUP("P999",Products!A2:A76,Products!B2:B76),"Not found")</x:v>
      </x:c>
      <x:c r="E15" s="42" t="str">
        <x:v>Not found</x:v>
      </x:c>
      <x:c r="F15" s="13" t="str">
        <x:v>Formula result</x:v>
      </x:c>
      <x:c r="G15" s="13" t="str">
        <x:v>PASS</x:v>
      </x:c>
      <x:c r="H15"/>
    </x:row>
    <x:row r="16" ht="32" hidden="0" customHeight="1">
      <x:c r="A16" s="13" t="str">
        <x:v>QA-015</x:v>
      </x:c>
      <x:c r="B16" s="13" t="n">
        <x:v>15</x:v>
      </x:c>
      <x:c r="C16" s="13" t="str">
        <x:v>Round 123.4567 to two decimals</x:v>
      </x:c>
      <x:c r="D16" s="13" t="str" cm="1">
        <x:f t="array" ref="D16:N115"/>
        <x:v>=ROUND(123.4567,2)</x:v>
      </x:c>
      <x:c r="E16" s="42" t="n">
        <x:v>123.46</x:v>
      </x:c>
      <x:c r="F16" s="13" t="str">
        <x:v>Formula result</x:v>
      </x:c>
      <x:c r="G16" s="13" t="str">
        <x:v>PASS</x:v>
      </x:c>
      <x:c r="H16"/>
      <x:c r="I16"/>
      <x:c r="J16"/>
      <x:c r="K16"/>
      <x:c r="L16"/>
      <x:c r="M16"/>
      <x:c r="N16"/>
    </x:row>
    <x:row r="17" ht="32" hidden="0" customHeight="1">
      <x:c r="A17" s="13" t="str">
        <x:v>QA-016</x:v>
      </x:c>
      <x:c r="B17" s="13" t="n">
        <x:v>16</x:v>
      </x:c>
      <x:c r="C17" s="13" t="str">
        <x:v>Find product P010</x:v>
      </x:c>
      <x:c r="D17" s="13" t="str">
        <x:v>=XLOOKUP("P010",Products!A2:A76,Products!B2:B76,"Not found")</x:v>
      </x:c>
      <x:c r="E17" s="42" t="str">
        <x:v>Mailing Labels 1 x 2.625</x:v>
      </x:c>
      <x:c r="F17" s="13" t="str">
        <x:v>Formula result</x:v>
      </x:c>
      <x:c r="G17" s="13" t="str">
        <x:v>PASS</x:v>
      </x:c>
      <x:c r="H17"/>
      <x:c r="I17"/>
      <x:c r="J17"/>
      <x:c r="K17"/>
      <x:c r="L17"/>
      <x:c r="M17"/>
      <x:c r="N17"/>
    </x:row>
    <x:row r="18" ht="32" hidden="0" customHeight="1">
      <x:c r="A18" s="13" t="str">
        <x:v>QA-017</x:v>
      </x:c>
      <x:c r="B18" s="13" t="n">
        <x:v>17</x:v>
      </x:c>
      <x:c r="C18" s="13" t="str">
        <x:v>Find segment for customer C010</x:v>
      </x:c>
      <x:c r="D18" s="13" t="str">
        <x:v>=XLOOKUP("C010",Customers!A2:A151,Customers!F2:F151,"Not found")</x:v>
      </x:c>
      <x:c r="E18" s="13" t="str">
        <x:v>Small Business</x:v>
      </x:c>
      <x:c r="F18" s="13" t="str">
        <x:v>Formula result</x:v>
      </x:c>
      <x:c r="G18" s="13" t="str">
        <x:v>PASS</x:v>
      </x:c>
      <x:c r="H18"/>
      <x:c r="I18"/>
      <x:c r="J18"/>
      <x:c r="K18"/>
      <x:c r="L18"/>
      <x:c r="M18"/>
      <x:c r="N18"/>
    </x:row>
    <x:row r="19" ht="32" hidden="0" customHeight="1">
      <x:c r="A19" s="13" t="str">
        <x:v>QA-018</x:v>
      </x:c>
      <x:c r="B19" s="13" t="n">
        <x:v>18</x:v>
      </x:c>
      <x:c r="C19" s="13" t="str">
        <x:v>Resolve Sales customer IDs against Customers</x:v>
      </x:c>
      <x:c r="D19" s="13" t="str">
        <x:v>XLOOKUP filled down Sales rows</x:v>
      </x:c>
      <x:c r="E19" s="13" t="str">
        <x:v>0 unresolved IDs</x:v>
      </x:c>
      <x:c r="F19" s="13" t="str">
        <x:v>Referential check</x:v>
      </x:c>
      <x:c r="G19" s="13" t="str">
        <x:v>PASS</x:v>
      </x:c>
      <x:c r="H19"/>
      <x:c r="I19"/>
      <x:c r="J19"/>
      <x:c r="K19"/>
      <x:c r="L19"/>
      <x:c r="M19"/>
      <x:c r="N19"/>
    </x:row>
    <x:row r="20" ht="32" hidden="0" customHeight="1">
      <x:c r="A20" s="13" t="str">
        <x:v>QA-019</x:v>
      </x:c>
      <x:c r="B20" s="13" t="n">
        <x:v>19</x:v>
      </x:c>
      <x:c r="C20" s="13" t="str">
        <x:v>Customers with no orders in current Sales extract</x:v>
      </x:c>
      <x:c r="D20" s="13" t="str">
        <x:v>=COUNTIF(Sales!$C$2:$C$501,A2)=0</x:v>
      </x:c>
      <x:c r="E20" s="13" t="n">
        <x:v>12</x:v>
      </x:c>
      <x:c r="F20" s="13" t="str">
        <x:v>Cross-check unique customer IDs</x:v>
      </x:c>
      <x:c r="G20" s="13" t="str">
        <x:v>PASS</x:v>
      </x:c>
      <x:c r="H20"/>
      <x:c r="I20"/>
      <x:c r="J20"/>
      <x:c r="K20"/>
      <x:c r="L20"/>
      <x:c r="M20"/>
      <x:c r="N20"/>
    </x:row>
    <x:row r="21" ht="32" hidden="0" customHeight="1">
      <x:c r="A21" s="13" t="str">
        <x:v>QA-020</x:v>
      </x:c>
      <x:c r="B21" s="13" t="n">
        <x:v>20</x:v>
      </x:c>
      <x:c r="C21" s="13" t="str">
        <x:v>Legacy lookup for P010</x:v>
      </x:c>
      <x:c r="D21" s="13" t="str">
        <x:v>=VLOOKUP("P010",Products!A2:D76,2,FALSE)</x:v>
      </x:c>
      <x:c r="E21" s="13" t="str">
        <x:v>Mailing Labels 1 x 2.625</x:v>
      </x:c>
      <x:c r="F21" s="13" t="str">
        <x:v>Formula result</x:v>
      </x:c>
      <x:c r="G21" s="13" t="str">
        <x:v>PASS</x:v>
      </x:c>
      <x:c r="H21"/>
      <x:c r="I21"/>
      <x:c r="J21"/>
      <x:c r="K21"/>
      <x:c r="L21"/>
      <x:c r="M21"/>
      <x:c r="N21"/>
    </x:row>
    <x:row r="22" ht="32" hidden="0" customHeight="1">
      <x:c r="A22" s="13" t="str">
        <x:v>QA-021</x:v>
      </x:c>
      <x:c r="B22" s="13" t="n">
        <x:v>21</x:v>
      </x:c>
      <x:c r="C22" s="13" t="str">
        <x:v>Trim customer C017 name</x:v>
      </x:c>
      <x:c r="D22" s="13" t="str">
        <x:v>=TRIM(Customers!B18)</x:v>
      </x:c>
      <x:c r="E22" s="13" t="str">
        <x:v>Bluebird Learning Centre</x:v>
      </x:c>
      <x:c r="F22" s="13" t="str">
        <x:v>Formula result</x:v>
      </x:c>
      <x:c r="G22" s="13" t="str">
        <x:v>PASS</x:v>
      </x:c>
      <x:c r="H22"/>
      <x:c r="I22"/>
      <x:c r="J22"/>
      <x:c r="K22"/>
      <x:c r="L22"/>
      <x:c r="M22"/>
      <x:c r="N22"/>
    </x:row>
    <x:row r="23" ht="32" hidden="0" customHeight="1">
      <x:c r="A23" s="13" t="str">
        <x:v>QA-022</x:v>
      </x:c>
      <x:c r="B23" s="13" t="n">
        <x:v>22</x:v>
      </x:c>
      <x:c r="C23" s="13" t="str">
        <x:v>Clean customer C040 name</x:v>
      </x:c>
      <x:c r="D23" s="13" t="str">
        <x:v>=CLEAN(Customers!B41)</x:v>
      </x:c>
      <x:c r="E23" s="13" t="str">
        <x:v>Beacon Accounting</x:v>
      </x:c>
      <x:c r="F23" s="13" t="str">
        <x:v>Formula result</x:v>
      </x:c>
      <x:c r="G23" s="13" t="str">
        <x:v>PASS</x:v>
      </x:c>
      <x:c r="H23"/>
      <x:c r="I23"/>
      <x:c r="J23"/>
      <x:c r="K23"/>
      <x:c r="L23"/>
      <x:c r="M23"/>
      <x:c r="N23"/>
    </x:row>
    <x:row r="24" ht="32" hidden="0" customHeight="1">
      <x:c r="A24" s="13" t="str">
        <x:v>QA-023</x:v>
      </x:c>
      <x:c r="B24" s="13" t="n">
        <x:v>23</x:v>
      </x:c>
      <x:c r="C24" s="13" t="str">
        <x:v>Proper case customer C029</x:v>
      </x:c>
      <x:c r="D24" s="13" t="str">
        <x:v>=PROPER(Customers!B30)</x:v>
      </x:c>
      <x:c r="E24" s="13" t="str">
        <x:v>Kingfisher Legal Services</x:v>
      </x:c>
      <x:c r="F24" s="13" t="str">
        <x:v>Formula result</x:v>
      </x:c>
      <x:c r="G24" s="13" t="str">
        <x:v>PASS</x:v>
      </x:c>
      <x:c r="H24"/>
      <x:c r="I24"/>
      <x:c r="J24"/>
      <x:c r="K24"/>
      <x:c r="L24"/>
      <x:c r="M24"/>
      <x:c r="N24"/>
    </x:row>
    <x:row r="25" ht="32" hidden="0" customHeight="1">
      <x:c r="A25" s="13" t="str">
        <x:v>QA-024</x:v>
      </x:c>
      <x:c r="B25" s="13" t="n">
        <x:v>24</x:v>
      </x:c>
      <x:c r="C25" s="13" t="str">
        <x:v>Extract last three characters of P010</x:v>
      </x:c>
      <x:c r="D25" s="13" t="str">
        <x:v>=RIGHT("P010",3)</x:v>
      </x:c>
      <x:c r="E25" s="13" t="str">
        <x:v>010</x:v>
      </x:c>
      <x:c r="F25" s="13" t="str">
        <x:v>Formula result</x:v>
      </x:c>
      <x:c r="G25" s="13" t="str">
        <x:v>PASS</x:v>
      </x:c>
      <x:c r="H25"/>
      <x:c r="I25"/>
      <x:c r="J25"/>
      <x:c r="K25"/>
      <x:c r="L25"/>
      <x:c r="M25"/>
      <x:c r="N25"/>
    </x:row>
    <x:row r="26" ht="32" hidden="0" customHeight="1">
      <x:c r="A26" s="13" t="str">
        <x:v>QA-025</x:v>
      </x:c>
      <x:c r="B26" s="13" t="n">
        <x:v>25</x:v>
      </x:c>
      <x:c r="C26" s="13" t="str">
        <x:v>Split Toronto|Corporate</x:v>
      </x:c>
      <x:c r="D26" s="13" t="str" cm="1">
        <x:f t="array" ref="D26:E26"/>
        <x:v>=TEXTSPLIT("Toronto|Corporate","|")</x:v>
      </x:c>
      <x:c r="E26" s="13" t="str">
        <x:v>Toronto and Corporate in adjacent cells</x:v>
      </x:c>
      <x:c r="F26" s="13" t="str">
        <x:v>Dynamic array result</x:v>
      </x:c>
      <x:c r="G26" s="13" t="str">
        <x:v>MANUAL</x:v>
      </x:c>
      <x:c r="H26"/>
      <x:c r="I26"/>
      <x:c r="J26"/>
      <x:c r="K26"/>
      <x:c r="L26"/>
      <x:c r="M26"/>
      <x:c r="N26"/>
    </x:row>
    <x:row r="27" ht="32" hidden="0" customHeight="1">
      <x:c r="A27" s="13" t="str">
        <x:v>QA-026</x:v>
      </x:c>
      <x:c r="B27" s="13" t="n">
        <x:v>26</x:v>
      </x:c>
      <x:c r="C27" s="13" t="str">
        <x:v>Join first customer's city and province</x:v>
      </x:c>
      <x:c r="D27" s="13" t="str">
        <x:v>=TEXTJOIN(", ",TRUE,Customers!C2,Customers!D2)</x:v>
      </x:c>
      <x:c r="E27" s="13" t="str">
        <x:v>Montreal, QC</x:v>
      </x:c>
      <x:c r="F27" s="13" t="str">
        <x:v>Formula result</x:v>
      </x:c>
      <x:c r="G27" s="13" t="str">
        <x:v>PASS</x:v>
      </x:c>
      <x:c r="H27"/>
      <x:c r="I27"/>
      <x:c r="J27"/>
      <x:c r="K27"/>
      <x:c r="L27"/>
      <x:c r="M27"/>
      <x:c r="N27"/>
    </x:row>
    <x:row r="28" ht="32" hidden="0" customHeight="1">
      <x:c r="A28" s="13" t="str">
        <x:v>QA-027</x:v>
      </x:c>
      <x:c r="B28" s="13" t="n">
        <x:v>27</x:v>
      </x:c>
      <x:c r="C28" s="13" t="str">
        <x:v>Find and Replace a known text variant</x:v>
      </x:c>
      <x:c r="D28" s="13" t="str">
        <x:v>Home &gt; Find &amp; Select &gt; Replace</x:v>
      </x:c>
      <x:c r="E28" s="13" t="str">
        <x:v>Only intended matches change</x:v>
      </x:c>
      <x:c r="F28" s="13" t="str">
        <x:v>Visual/data check</x:v>
      </x:c>
      <x:c r="G28" s="13" t="str">
        <x:v>MANUAL</x:v>
      </x:c>
      <x:c r="H28"/>
      <x:c r="I28"/>
      <x:c r="J28"/>
      <x:c r="K28"/>
      <x:c r="L28"/>
      <x:c r="M28"/>
      <x:c r="N28"/>
    </x:row>
    <x:row r="29" ht="32" hidden="0" customHeight="1">
      <x:c r="A29" s="13" t="str">
        <x:v>QA-028</x:v>
      </x:c>
      <x:c r="B29" s="13" t="n">
        <x:v>28</x:v>
      </x:c>
      <x:c r="C29" s="13" t="str">
        <x:v>Highlight duplicate CustomerIDs</x:v>
      </x:c>
      <x:c r="D29" s="13" t="str">
        <x:v>Conditional Formatting &gt; Duplicate Values</x:v>
      </x:c>
      <x:c r="E29" s="13" t="str">
        <x:v>C021 and C055 are highlighted</x:v>
      </x:c>
      <x:c r="F29" s="13" t="str">
        <x:v>Visual check</x:v>
      </x:c>
      <x:c r="G29" s="13" t="str">
        <x:v>MANUAL</x:v>
      </x:c>
      <x:c r="H29"/>
      <x:c r="I29"/>
      <x:c r="J29"/>
      <x:c r="K29"/>
      <x:c r="L29"/>
      <x:c r="M29"/>
      <x:c r="N29"/>
    </x:row>
    <x:row r="30" ht="32" hidden="0" customHeight="1">
      <x:c r="A30" s="13" t="str">
        <x:v>QA-029</x:v>
      </x:c>
      <x:c r="B30" s="13" t="n">
        <x:v>29</x:v>
      </x:c>
      <x:c r="C30" s="13" t="str">
        <x:v>Remove exact duplicate customer rows</x:v>
      </x:c>
      <x:c r="D30" s="13" t="str">
        <x:v>Data &gt; Remove Duplicates</x:v>
      </x:c>
      <x:c r="E30" s="13" t="str">
        <x:v>2 exact duplicate rows removed</x:v>
      </x:c>
      <x:c r="F30" s="13" t="str">
        <x:v>Row-count check</x:v>
      </x:c>
      <x:c r="G30" s="13" t="str">
        <x:v>PASS</x:v>
      </x:c>
      <x:c r="H30"/>
      <x:c r="I30"/>
      <x:c r="J30"/>
      <x:c r="K30"/>
      <x:c r="L30"/>
      <x:c r="M30"/>
      <x:c r="N30"/>
    </x:row>
    <x:row r="31" ht="32" hidden="0" customHeight="1">
      <x:c r="A31" s="13" t="str">
        <x:v>QA-030</x:v>
      </x:c>
      <x:c r="B31" s="13" t="n">
        <x:v>30</x:v>
      </x:c>
      <x:c r="C31" s="13" t="str">
        <x:v>Unique customer segments</x:v>
      </x:c>
      <x:c r="D31" s="13" t="str" cm="1">
        <x:f t="array" ref="D31:D34"/>
        <x:v>=SORT(UNIQUE(Customers!F2:F151))</x:v>
      </x:c>
      <x:c r="E31" s="13" t="str">
        <x:v>Corporate, Education, Nonprofit, Small Business</x:v>
      </x:c>
      <x:c r="F31" s="13" t="str">
        <x:v>Dynamic array result</x:v>
      </x:c>
      <x:c r="G31" s="13" t="str">
        <x:v>MANUAL</x:v>
      </x:c>
      <x:c r="H31"/>
      <x:c r="I31"/>
      <x:c r="J31"/>
      <x:c r="K31"/>
      <x:c r="L31"/>
      <x:c r="M31"/>
      <x:c r="N31"/>
    </x:row>
    <x:row r="32" ht="32" hidden="0" customHeight="1">
      <x:c r="A32" s="13" t="str">
        <x:v>QA-031</x:v>
      </x:c>
      <x:c r="B32" s="13" t="n">
        <x:v>31</x:v>
      </x:c>
      <x:c r="C32" s="13" t="str">
        <x:v>Return today's date</x:v>
      </x:c>
      <x:c r="D32" s="13" t="str">
        <x:v>=TODAY()</x:v>
      </x:c>
      <x:c r="E32" s="13" t="str">
        <x:v>Current system date</x:v>
      </x:c>
      <x:c r="F32" s="13" t="str">
        <x:v>Dynamic result</x:v>
      </x:c>
      <x:c r="G32" s="13" t="str">
        <x:v>MANUAL</x:v>
      </x:c>
      <x:c r="H32"/>
      <x:c r="I32"/>
      <x:c r="J32"/>
      <x:c r="K32"/>
      <x:c r="L32"/>
      <x:c r="M32"/>
      <x:c r="N32"/>
    </x:row>
    <x:row r="33" ht="32" hidden="0" customHeight="1">
      <x:c r="A33" s="13" t="str">
        <x:v>QA-032</x:v>
      </x:c>
      <x:c r="B33" s="13" t="n">
        <x:v>32</x:v>
      </x:c>
      <x:c r="C33" s="13" t="str">
        <x:v>Calendar days for first project</x:v>
      </x:c>
      <x:c r="D33" s="13" t="str">
        <x:v>=Projects!E2-Projects!D2</x:v>
      </x:c>
      <x:c r="E33" s="13" t="n">
        <x:v>60</x:v>
      </x:c>
      <x:c r="F33" s="13" t="str">
        <x:v>Formula result</x:v>
      </x:c>
      <x:c r="G33" s="13" t="str">
        <x:v>PASS</x:v>
      </x:c>
      <x:c r="H33"/>
      <x:c r="I33"/>
      <x:c r="J33"/>
      <x:c r="K33"/>
      <x:c r="L33"/>
      <x:c r="M33"/>
      <x:c r="N33"/>
    </x:row>
    <x:row r="34" ht="32" hidden="0" customHeight="1">
      <x:c r="A34" s="13" t="str">
        <x:v>QA-033</x:v>
      </x:c>
      <x:c r="B34" s="13" t="n">
        <x:v>33</x:v>
      </x:c>
      <x:c r="C34" s="13" t="str">
        <x:v>Working days for first project</x:v>
      </x:c>
      <x:c r="D34" s="13" t="str">
        <x:v>=NETWORKDAYS(Projects!D2,Projects!E2,Holidays!$A$2:$A$8)</x:v>
      </x:c>
      <x:c r="E34" s="13" t="n">
        <x:v>43</x:v>
      </x:c>
      <x:c r="F34" s="13" t="str">
        <x:v>Independent calendar check</x:v>
      </x:c>
      <x:c r="G34" s="13" t="str">
        <x:v>PASS</x:v>
      </x:c>
      <x:c r="H34"/>
      <x:c r="I34"/>
      <x:c r="J34"/>
      <x:c r="K34"/>
      <x:c r="L34"/>
      <x:c r="M34"/>
      <x:c r="N34"/>
    </x:row>
    <x:row r="35" ht="32" hidden="0" customHeight="1">
      <x:c r="A35" s="13" t="str">
        <x:v>QA-034</x:v>
      </x:c>
      <x:c r="B35" s="13" t="n">
        <x:v>34</x:v>
      </x:c>
      <x:c r="C35" s="13" t="str">
        <x:v>Ten workdays after first project start</x:v>
      </x:c>
      <x:c r="D35" s="13" t="str">
        <x:v>=WORKDAY(Projects!D2,10,Holidays!$A$2:$A$8)</x:v>
      </x:c>
      <x:c r="E35" s="13" t="str">
        <x:v>2026-06-05</x:v>
      </x:c>
      <x:c r="F35" s="13" t="str">
        <x:v>Independent calendar check</x:v>
      </x:c>
      <x:c r="G35" s="13" t="str">
        <x:v>PASS</x:v>
      </x:c>
      <x:c r="H35"/>
      <x:c r="I35"/>
      <x:c r="J35"/>
      <x:c r="K35"/>
      <x:c r="L35"/>
      <x:c r="M35"/>
      <x:c r="N35"/>
    </x:row>
    <x:row r="36" ht="32" hidden="0" customHeight="1">
      <x:c r="A36" s="13" t="str">
        <x:v>QA-035</x:v>
      </x:c>
      <x:c r="B36" s="13" t="n">
        <x:v>35</x:v>
      </x:c>
      <x:c r="C36" s="13" t="str">
        <x:v>Month end for first expense</x:v>
      </x:c>
      <x:c r="D36" s="13" t="str">
        <x:v>=EOMONTH(Expenses!B2,0)</x:v>
      </x:c>
      <x:c r="E36" s="13" t="str">
        <x:v>2026-06-30</x:v>
      </x:c>
      <x:c r="F36" s="13" t="str">
        <x:v>Date check</x:v>
      </x:c>
      <x:c r="G36" s="13" t="str">
        <x:v>PASS</x:v>
      </x:c>
      <x:c r="H36"/>
      <x:c r="I36"/>
      <x:c r="J36"/>
      <x:c r="K36"/>
      <x:c r="L36"/>
      <x:c r="M36"/>
      <x:c r="N36"/>
    </x:row>
    <x:row r="37" ht="32" hidden="0" customHeight="1">
      <x:c r="A37" s="13" t="str">
        <x:v>QA-036</x:v>
      </x:c>
      <x:c r="B37" s="13" t="n">
        <x:v>36</x:v>
      </x:c>
      <x:c r="C37" s="13" t="str">
        <x:v>Highlight overdue incomplete projects</x:v>
      </x:c>
      <x:c r="D37" s="13" t="str">
        <x:v>Conditional Formatting with TODAY()</x:v>
      </x:c>
      <x:c r="E37" s="13" t="str">
        <x:v>Rows depend on current date</x:v>
      </x:c>
      <x:c r="F37" s="13" t="str">
        <x:v>Visual/dynamic check</x:v>
      </x:c>
      <x:c r="G37" s="13" t="str">
        <x:v>MANUAL</x:v>
      </x:c>
      <x:c r="H37"/>
      <x:c r="I37"/>
      <x:c r="J37"/>
      <x:c r="K37"/>
      <x:c r="L37"/>
      <x:c r="M37"/>
      <x:c r="N37"/>
    </x:row>
    <x:row r="38" ht="32" hidden="0" customHeight="1">
      <x:c r="A38" s="13" t="str">
        <x:v>QA-037</x:v>
      </x:c>
      <x:c r="B38" s="13" t="n">
        <x:v>37</x:v>
      </x:c>
      <x:c r="C38" s="13" t="str">
        <x:v>Convert Sales range to a Table</x:v>
      </x:c>
      <x:c r="D38" s="13" t="str">
        <x:v>Insert &gt; Table</x:v>
      </x:c>
      <x:c r="E38" s="13" t="str">
        <x:v>Headers and filter buttons appear</x:v>
      </x:c>
      <x:c r="F38" s="13" t="str">
        <x:v>Visual check</x:v>
      </x:c>
      <x:c r="G38" s="13" t="str">
        <x:v>MANUAL</x:v>
      </x:c>
      <x:c r="H38"/>
      <x:c r="I38"/>
      <x:c r="J38"/>
      <x:c r="K38"/>
      <x:c r="L38"/>
      <x:c r="M38"/>
      <x:c r="N38"/>
    </x:row>
    <x:row r="39" ht="32" hidden="0" customHeight="1">
      <x:c r="A39" s="13" t="str">
        <x:v>QA-038</x:v>
      </x:c>
      <x:c r="B39" s="13" t="n">
        <x:v>38</x:v>
      </x:c>
      <x:c r="C39" s="13" t="str">
        <x:v>Sort by Region then Revenue</x:v>
      </x:c>
      <x:c r="D39" s="13" t="str">
        <x:v>Data &gt; Sort &gt; Add Level</x:v>
      </x:c>
      <x:c r="E39" s="13" t="str">
        <x:v>Rows remain intact and follow both keys</x:v>
      </x:c>
      <x:c r="F39" s="13" t="str">
        <x:v>Visual/data check</x:v>
      </x:c>
      <x:c r="G39" s="13" t="str">
        <x:v>MANUAL</x:v>
      </x:c>
      <x:c r="H39"/>
      <x:c r="I39"/>
      <x:c r="J39"/>
      <x:c r="K39"/>
      <x:c r="L39"/>
      <x:c r="M39"/>
      <x:c r="N39"/>
    </x:row>
    <x:row r="40" ht="32" hidden="0" customHeight="1">
      <x:c r="A40" s="13" t="str">
        <x:v>QA-039</x:v>
      </x:c>
      <x:c r="B40" s="13" t="n">
        <x:v>39</x:v>
      </x:c>
      <x:c r="C40" s="13" t="str">
        <x:v>Filter Sales to selected criteria</x:v>
      </x:c>
      <x:c r="D40" s="13" t="str">
        <x:v>Data &gt; Filter</x:v>
      </x:c>
      <x:c r="E40" s="13" t="str">
        <x:v>Only matching rows are visible</x:v>
      </x:c>
      <x:c r="F40" s="13" t="str">
        <x:v>Visual/data check</x:v>
      </x:c>
      <x:c r="G40" s="13" t="str">
        <x:v>MANUAL</x:v>
      </x:c>
      <x:c r="H40"/>
      <x:c r="I40"/>
      <x:c r="J40"/>
      <x:c r="K40"/>
      <x:c r="L40"/>
      <x:c r="M40"/>
      <x:c r="N40"/>
    </x:row>
    <x:row r="41" ht="32" hidden="0" customHeight="1">
      <x:c r="A41" s="13" t="str">
        <x:v>QA-040</x:v>
      </x:c>
      <x:c r="B41" s="13" t="n">
        <x:v>40</x:v>
      </x:c>
      <x:c r="C41" s="13" t="str">
        <x:v>FILTER completed Toronto orders</x:v>
      </x:c>
      <x:c r="D41" s="13" t="str" cm="1">
        <x:f t="array" ref="D41:N95"/>
        <x:v>=FILTER(Sales!A2:K501,(Sales!E2:E501="Toronto")*(Sales!K2:K501="Completed"),"None")</x:v>
      </x:c>
      <x:c r="E41" s="13" t="n">
        <x:v>55</x:v>
      </x:c>
      <x:c r="F41" s="13" t="str">
        <x:v>Dynamic array row count</x:v>
      </x:c>
      <x:c r="G41" s="13" t="str">
        <x:v>MANUAL</x:v>
      </x:c>
      <x:c r="H41"/>
      <x:c r="I41"/>
      <x:c r="J41"/>
      <x:c r="K41"/>
      <x:c r="L41"/>
      <x:c r="M41"/>
      <x:c r="N41"/>
    </x:row>
    <x:row r="42" ht="32" hidden="0" customHeight="1">
      <x:c r="A42" s="13" t="str">
        <x:v>QA-041</x:v>
      </x:c>
      <x:c r="B42" s="13" t="n">
        <x:v>41</x:v>
      </x:c>
      <x:c r="C42" s="13" t="str">
        <x:v>Project status drop-down</x:v>
      </x:c>
      <x:c r="D42" s="13" t="str">
        <x:v>Data Validation list</x:v>
      </x:c>
      <x:c r="E42" s="13" t="str">
        <x:v>Only allowed statuses appear</x:v>
      </x:c>
      <x:c r="F42" s="13" t="str">
        <x:v>Visual check</x:v>
      </x:c>
      <x:c r="G42" s="13" t="str">
        <x:v>MANUAL</x:v>
      </x:c>
      <x:c r="H42"/>
      <x:c r="I42"/>
      <x:c r="J42"/>
      <x:c r="K42"/>
      <x:c r="L42"/>
      <x:c r="M42"/>
      <x:c r="N42"/>
    </x:row>
    <x:row r="43" ht="32" hidden="0" customHeight="1">
      <x:c r="A43" s="13" t="str">
        <x:v>QA-042</x:v>
      </x:c>
      <x:c r="B43" s="13" t="n">
        <x:v>42</x:v>
      </x:c>
      <x:c r="C43" s="13" t="str">
        <x:v>Reject or warn on invalid expense category</x:v>
      </x:c>
      <x:c r="D43" s="13" t="str">
        <x:v>Data Validation rule</x:v>
      </x:c>
      <x:c r="E43" s="13" t="str">
        <x:v>Invalid entry is blocked or warned</x:v>
      </x:c>
      <x:c r="F43" s="13" t="str">
        <x:v>Feature check</x:v>
      </x:c>
      <x:c r="G43" s="13" t="str">
        <x:v>MANUAL</x:v>
      </x:c>
      <x:c r="H43"/>
      <x:c r="I43"/>
      <x:c r="J43"/>
      <x:c r="K43"/>
      <x:c r="L43"/>
      <x:c r="M43"/>
      <x:c r="N43"/>
    </x:row>
    <x:row r="44" ht="32" hidden="0" customHeight="1">
      <x:c r="A44" s="13" t="str">
        <x:v>QA-043</x:v>
      </x:c>
      <x:c r="B44" s="13" t="n">
        <x:v>43</x:v>
      </x:c>
      <x:c r="C44" s="13" t="str">
        <x:v>Subtotal filtered completed Toronto revenue</x:v>
      </x:c>
      <x:c r="D44" s="13" t="str">
        <x:v>=SUBTOTAL(109,Sales!J2:J501)</x:v>
      </x:c>
      <x:c r="E44" s="13" t="n">
        <x:v>10709.09</x:v>
      </x:c>
      <x:c r="F44" s="13" t="str">
        <x:v>After filtering Region and Status</x:v>
      </x:c>
      <x:c r="G44" s="13" t="str">
        <x:v>MANUAL</x:v>
      </x:c>
      <x:c r="H44"/>
      <x:c r="I44"/>
      <x:c r="J44"/>
      <x:c r="K44"/>
      <x:c r="L44"/>
      <x:c r="M44"/>
      <x:c r="N44"/>
    </x:row>
    <x:row r="45" ht="32" hidden="0" customHeight="1">
      <x:c r="A45" s="13" t="str">
        <x:v>QA-044</x:v>
      </x:c>
      <x:c r="B45" s="13" t="n">
        <x:v>44</x:v>
      </x:c>
      <x:c r="C45" s="13" t="str">
        <x:v>PivotTable grand total</x:v>
      </x:c>
      <x:c r="D45" s="13" t="str">
        <x:v>Insert &gt; PivotTable; Sum of Revenue</x:v>
      </x:c>
      <x:c r="E45" s="13" t="n">
        <x:v>96446.26</x:v>
      </x:c>
      <x:c r="F45" s="13" t="str">
        <x:v>Reconcile to Sales revenue</x:v>
      </x:c>
      <x:c r="G45" s="13" t="str">
        <x:v>MANUAL</x:v>
      </x:c>
      <x:c r="H45"/>
      <x:c r="I45"/>
      <x:c r="J45"/>
      <x:c r="K45"/>
      <x:c r="L45"/>
      <x:c r="M45"/>
      <x:c r="N45"/>
    </x:row>
    <x:row r="46" ht="32" hidden="0" customHeight="1">
      <x:c r="A46" s="13" t="str">
        <x:v>QA-045</x:v>
      </x:c>
      <x:c r="B46" s="13" t="n">
        <x:v>45</x:v>
      </x:c>
      <x:c r="C46" s="13" t="str">
        <x:v>PivotTable region and product cross-tab</x:v>
      </x:c>
      <x:c r="D46" s="13" t="str">
        <x:v>Rows Region; Columns Product; Values Sum of Revenue</x:v>
      </x:c>
      <x:c r="E46" s="13" t="str">
        <x:v>Grand total matches QA-044</x:v>
      </x:c>
      <x:c r="F46" s="13" t="str">
        <x:v>Pivot reconciliation</x:v>
      </x:c>
      <x:c r="G46" s="13" t="str">
        <x:v>MANUAL</x:v>
      </x:c>
      <x:c r="H46"/>
      <x:c r="I46"/>
      <x:c r="J46"/>
      <x:c r="K46"/>
      <x:c r="L46"/>
      <x:c r="M46"/>
      <x:c r="N46"/>
    </x:row>
    <x:row r="47" ht="32" hidden="0" customHeight="1">
      <x:c r="A47" s="13" t="str">
        <x:v>QA-046</x:v>
      </x:c>
      <x:c r="B47" s="13" t="n">
        <x:v>46</x:v>
      </x:c>
      <x:c r="C47" s="13" t="str">
        <x:v>Top revenue order</x:v>
      </x:c>
      <x:c r="D47" s="13" t="str">
        <x:v>Sort Revenue largest to smallest</x:v>
      </x:c>
      <x:c r="E47" s="13" t="n">
        <x:v>818.12</x:v>
      </x:c>
      <x:c r="F47" s="13" t="str">
        <x:v>Sort/check</x:v>
      </x:c>
      <x:c r="G47" s="13" t="str">
        <x:v>PASS</x:v>
      </x:c>
      <x:c r="H47"/>
      <x:c r="I47"/>
      <x:c r="J47"/>
      <x:c r="K47"/>
      <x:c r="L47"/>
      <x:c r="M47"/>
      <x:c r="N47"/>
    </x:row>
    <x:row r="48" ht="32" hidden="0" customHeight="1">
      <x:c r="A48" s="13" t="str">
        <x:v>QA-047</x:v>
      </x:c>
      <x:c r="B48" s="13" t="n">
        <x:v>47</x:v>
      </x:c>
      <x:c r="C48" s="13" t="str">
        <x:v>Business chart from monthly totals</x:v>
      </x:c>
      <x:c r="D48" s="13" t="str">
        <x:v>Insert chart from month summary</x:v>
      </x:c>
      <x:c r="E48" s="13" t="str">
        <x:v>Trend is readable; source totals reconcile</x:v>
      </x:c>
      <x:c r="F48" s="13" t="str">
        <x:v>Visual check</x:v>
      </x:c>
      <x:c r="G48" s="13" t="str">
        <x:v>MANUAL</x:v>
      </x:c>
      <x:c r="H48"/>
      <x:c r="I48"/>
      <x:c r="J48"/>
      <x:c r="K48"/>
      <x:c r="L48"/>
      <x:c r="M48"/>
      <x:c r="N48"/>
    </x:row>
    <x:row r="49" ht="32" hidden="0" customHeight="1">
      <x:c r="A49" s="13" t="str">
        <x:v>QA-048</x:v>
      </x:c>
      <x:c r="B49" s="13" t="n">
        <x:v>48</x:v>
      </x:c>
      <x:c r="C49" s="13" t="str">
        <x:v>Progress against a target</x:v>
      </x:c>
      <x:c r="D49" s="13" t="str">
        <x:v>Actual/Target and variance formula</x:v>
      </x:c>
      <x:c r="E49" s="13" t="str">
        <x:v>Status agrees with numeric variance</x:v>
      </x:c>
      <x:c r="F49" s="13" t="str">
        <x:v>Formula + visual check</x:v>
      </x:c>
      <x:c r="G49" s="13" t="str">
        <x:v>MANUAL</x:v>
      </x:c>
      <x:c r="H49"/>
      <x:c r="I49"/>
      <x:c r="J49"/>
      <x:c r="K49"/>
      <x:c r="L49"/>
      <x:c r="M49"/>
      <x:c r="N49"/>
    </x:row>
    <x:row r="50" ht="32" hidden="0" customHeight="1">
      <x:c r="A50" s="13" t="str">
        <x:v>QA-049</x:v>
      </x:c>
      <x:c r="B50" s="13" t="n">
        <x:v>49</x:v>
      </x:c>
      <x:c r="C50" s="13" t="str">
        <x:v>KPI summary</x:v>
      </x:c>
      <x:c r="D50" s="13" t="str">
        <x:v>Total revenue, completed revenue, completed orders, pending orders</x:v>
      </x:c>
      <x:c r="E50" s="13" t="str">
        <x:v>All KPIs reconcile to source data</x:v>
      </x:c>
      <x:c r="F50" s="13" t="str">
        <x:v>End-to-end check</x:v>
      </x:c>
      <x:c r="G50" s="13" t="str">
        <x:v>MANUAL</x:v>
      </x:c>
      <x:c r="H50"/>
      <x:c r="I50"/>
      <x:c r="J50"/>
      <x:c r="K50"/>
      <x:c r="L50"/>
      <x:c r="M50"/>
      <x:c r="N50"/>
    </x:row>
    <x:row r="51" ht="32" hidden="0" customHeight="1">
      <x:c r="A51" s="13" t="str">
        <x:v>QA-050</x:v>
      </x:c>
      <x:c r="B51" s="13" t="n">
        <x:v>50</x:v>
      </x:c>
      <x:c r="C51" s="13" t="str">
        <x:v>Monthly management report</x:v>
      </x:c>
      <x:c r="D51" s="13" t="str">
        <x:v>Monthly SUMIFS/COUNTIFS or PivotTable</x:v>
      </x:c>
      <x:c r="E51" s="13" t="str">
        <x:v>Eight monthly rows reconcile to source</x:v>
      </x:c>
      <x:c r="F51" s="13" t="str">
        <x:v>End-to-end check</x:v>
      </x:c>
      <x:c r="G51" s="13" t="str">
        <x:v>MANUAL</x:v>
      </x:c>
      <x:c r="H51"/>
      <x:c r="I51"/>
      <x:c r="J51"/>
      <x:c r="K51"/>
      <x:c r="L51"/>
      <x:c r="M51"/>
      <x:c r="N51"/>
    </x:row>
    <x:row r="52">
      <x:c r="D52"/>
      <x:c r="E52"/>
      <x:c r="F52"/>
      <x:c r="G52"/>
      <x:c r="H52"/>
      <x:c r="I52"/>
      <x:c r="J52"/>
      <x:c r="K52"/>
      <x:c r="L52"/>
      <x:c r="M52"/>
      <x:c r="N52"/>
    </x:row>
    <x:row r="53">
      <x:c r="D53"/>
      <x:c r="E53"/>
      <x:c r="F53"/>
      <x:c r="G53"/>
      <x:c r="H53"/>
      <x:c r="I53"/>
      <x:c r="J53"/>
      <x:c r="K53"/>
      <x:c r="L53"/>
      <x:c r="M53"/>
      <x:c r="N53"/>
    </x:row>
    <x:row r="54">
      <x:c r="D54"/>
      <x:c r="E54"/>
      <x:c r="F54"/>
      <x:c r="G54"/>
      <x:c r="H54"/>
      <x:c r="I54"/>
      <x:c r="J54"/>
      <x:c r="K54"/>
      <x:c r="L54"/>
      <x:c r="M54"/>
      <x:c r="N54"/>
    </x:row>
    <x:row r="55">
      <x:c r="D55"/>
      <x:c r="E55"/>
      <x:c r="F55"/>
      <x:c r="G55"/>
      <x:c r="H55"/>
      <x:c r="I55"/>
      <x:c r="J55"/>
      <x:c r="K55"/>
      <x:c r="L55"/>
      <x:c r="M55"/>
      <x:c r="N55"/>
    </x:row>
    <x:row r="56">
      <x:c r="D56"/>
      <x:c r="E56"/>
      <x:c r="F56"/>
      <x:c r="G56"/>
      <x:c r="H56"/>
      <x:c r="I56"/>
      <x:c r="J56"/>
      <x:c r="K56"/>
      <x:c r="L56"/>
      <x:c r="M56"/>
      <x:c r="N56"/>
    </x:row>
    <x:row r="57">
      <x:c r="D57"/>
      <x:c r="E57"/>
      <x:c r="F57"/>
      <x:c r="G57"/>
      <x:c r="H57"/>
      <x:c r="I57"/>
      <x:c r="J57"/>
      <x:c r="K57"/>
      <x:c r="L57"/>
      <x:c r="M57"/>
      <x:c r="N57"/>
    </x:row>
    <x:row r="58">
      <x:c r="D58"/>
      <x:c r="E58"/>
      <x:c r="F58"/>
      <x:c r="G58"/>
      <x:c r="H58"/>
      <x:c r="I58"/>
      <x:c r="J58"/>
      <x:c r="K58"/>
      <x:c r="L58"/>
      <x:c r="M58"/>
      <x:c r="N58"/>
    </x:row>
    <x:row r="59">
      <x:c r="D59"/>
      <x:c r="E59"/>
      <x:c r="F59"/>
      <x:c r="G59"/>
      <x:c r="H59"/>
      <x:c r="I59"/>
      <x:c r="J59"/>
      <x:c r="K59"/>
      <x:c r="L59"/>
      <x:c r="M59"/>
      <x:c r="N59"/>
    </x:row>
    <x:row r="60">
      <x:c r="D60"/>
      <x:c r="E60"/>
      <x:c r="F60"/>
      <x:c r="G60"/>
      <x:c r="H60"/>
      <x:c r="I60"/>
      <x:c r="J60"/>
      <x:c r="K60"/>
      <x:c r="L60"/>
      <x:c r="M60"/>
      <x:c r="N60"/>
    </x:row>
    <x:row r="61">
      <x:c r="D61"/>
      <x:c r="E61"/>
      <x:c r="F61"/>
      <x:c r="G61"/>
      <x:c r="H61"/>
      <x:c r="I61"/>
      <x:c r="J61"/>
      <x:c r="K61"/>
      <x:c r="L61"/>
      <x:c r="M61"/>
      <x:c r="N61"/>
    </x:row>
    <x:row r="62">
      <x:c r="D62"/>
      <x:c r="E62"/>
      <x:c r="F62"/>
      <x:c r="G62"/>
      <x:c r="H62"/>
      <x:c r="I62"/>
      <x:c r="J62"/>
      <x:c r="K62"/>
      <x:c r="L62"/>
      <x:c r="M62"/>
      <x:c r="N62"/>
    </x:row>
    <x:row r="63">
      <x:c r="D63"/>
      <x:c r="E63"/>
      <x:c r="F63"/>
      <x:c r="G63"/>
      <x:c r="H63"/>
      <x:c r="I63"/>
      <x:c r="J63"/>
      <x:c r="K63"/>
      <x:c r="L63"/>
      <x:c r="M63"/>
      <x:c r="N63"/>
    </x:row>
    <x:row r="64">
      <x:c r="D64"/>
      <x:c r="E64"/>
      <x:c r="F64"/>
      <x:c r="G64"/>
      <x:c r="H64"/>
      <x:c r="I64"/>
      <x:c r="J64"/>
      <x:c r="K64"/>
      <x:c r="L64"/>
      <x:c r="M64"/>
      <x:c r="N64"/>
    </x:row>
    <x:row r="65">
      <x:c r="D65"/>
      <x:c r="E65"/>
      <x:c r="F65"/>
      <x:c r="G65"/>
      <x:c r="H65"/>
      <x:c r="I65"/>
      <x:c r="J65"/>
      <x:c r="K65"/>
      <x:c r="L65"/>
      <x:c r="M65"/>
      <x:c r="N65"/>
    </x:row>
    <x:row r="66">
      <x:c r="D66"/>
      <x:c r="E66"/>
      <x:c r="F66"/>
      <x:c r="G66"/>
      <x:c r="H66"/>
      <x:c r="I66"/>
      <x:c r="J66"/>
      <x:c r="K66"/>
      <x:c r="L66"/>
      <x:c r="M66"/>
      <x:c r="N66"/>
    </x:row>
    <x:row r="67">
      <x:c r="D67"/>
      <x:c r="E67"/>
      <x:c r="F67"/>
      <x:c r="G67"/>
      <x:c r="H67"/>
      <x:c r="I67"/>
      <x:c r="J67"/>
      <x:c r="K67"/>
      <x:c r="L67"/>
      <x:c r="M67"/>
      <x:c r="N67"/>
    </x:row>
    <x:row r="68">
      <x:c r="D68"/>
      <x:c r="E68"/>
      <x:c r="F68"/>
      <x:c r="G68"/>
      <x:c r="H68"/>
      <x:c r="I68"/>
      <x:c r="J68"/>
      <x:c r="K68"/>
      <x:c r="L68"/>
      <x:c r="M68"/>
      <x:c r="N68"/>
    </x:row>
    <x:row r="69">
      <x:c r="D69"/>
      <x:c r="E69"/>
      <x:c r="F69"/>
      <x:c r="G69"/>
      <x:c r="H69"/>
      <x:c r="I69"/>
      <x:c r="J69"/>
      <x:c r="K69"/>
      <x:c r="L69"/>
      <x:c r="M69"/>
      <x:c r="N69"/>
    </x:row>
    <x:row r="70">
      <x:c r="D70"/>
      <x:c r="E70"/>
      <x:c r="F70"/>
      <x:c r="G70"/>
      <x:c r="H70"/>
      <x:c r="I70"/>
      <x:c r="J70"/>
      <x:c r="K70"/>
      <x:c r="L70"/>
      <x:c r="M70"/>
      <x:c r="N70"/>
    </x:row>
    <x:row r="71">
      <x:c r="D71"/>
      <x:c r="E71"/>
      <x:c r="F71"/>
      <x:c r="G71"/>
      <x:c r="H71"/>
      <x:c r="I71"/>
      <x:c r="J71"/>
      <x:c r="K71"/>
      <x:c r="L71"/>
      <x:c r="M71"/>
      <x:c r="N71"/>
    </x:row>
    <x:row r="72">
      <x:c r="D72"/>
      <x:c r="E72"/>
      <x:c r="F72"/>
      <x:c r="G72"/>
      <x:c r="H72"/>
      <x:c r="I72"/>
      <x:c r="J72"/>
      <x:c r="K72"/>
      <x:c r="L72"/>
      <x:c r="M72"/>
      <x:c r="N72"/>
    </x:row>
    <x:row r="73">
      <x:c r="D73"/>
      <x:c r="E73"/>
      <x:c r="F73"/>
      <x:c r="G73"/>
      <x:c r="H73"/>
      <x:c r="I73"/>
      <x:c r="J73"/>
      <x:c r="K73"/>
      <x:c r="L73"/>
      <x:c r="M73"/>
      <x:c r="N73"/>
    </x:row>
    <x:row r="74">
      <x:c r="D74"/>
      <x:c r="E74"/>
      <x:c r="F74"/>
      <x:c r="G74"/>
      <x:c r="H74"/>
      <x:c r="I74"/>
      <x:c r="J74"/>
      <x:c r="K74"/>
      <x:c r="L74"/>
      <x:c r="M74"/>
      <x:c r="N74"/>
    </x:row>
    <x:row r="75">
      <x:c r="D75"/>
      <x:c r="E75"/>
      <x:c r="F75"/>
      <x:c r="G75"/>
      <x:c r="H75"/>
      <x:c r="I75"/>
      <x:c r="J75"/>
      <x:c r="K75"/>
      <x:c r="L75"/>
      <x:c r="M75"/>
      <x:c r="N75"/>
    </x:row>
    <x:row r="76">
      <x:c r="D76"/>
      <x:c r="E76"/>
      <x:c r="F76"/>
      <x:c r="G76"/>
      <x:c r="H76"/>
      <x:c r="I76"/>
      <x:c r="J76"/>
      <x:c r="K76"/>
      <x:c r="L76"/>
      <x:c r="M76"/>
      <x:c r="N76"/>
    </x:row>
    <x:row r="77">
      <x:c r="D77"/>
      <x:c r="E77"/>
      <x:c r="F77"/>
      <x:c r="G77"/>
      <x:c r="H77"/>
      <x:c r="I77"/>
      <x:c r="J77"/>
      <x:c r="K77"/>
      <x:c r="L77"/>
      <x:c r="M77"/>
      <x:c r="N77"/>
    </x:row>
    <x:row r="78">
      <x:c r="D78"/>
      <x:c r="E78"/>
      <x:c r="F78"/>
      <x:c r="G78"/>
      <x:c r="H78"/>
      <x:c r="I78"/>
      <x:c r="J78"/>
      <x:c r="K78"/>
      <x:c r="L78"/>
      <x:c r="M78"/>
      <x:c r="N78"/>
    </x:row>
    <x:row r="79">
      <x:c r="D79"/>
      <x:c r="E79"/>
      <x:c r="F79"/>
      <x:c r="G79"/>
      <x:c r="H79"/>
      <x:c r="I79"/>
      <x:c r="J79"/>
      <x:c r="K79"/>
      <x:c r="L79"/>
      <x:c r="M79"/>
      <x:c r="N79"/>
    </x:row>
    <x:row r="80">
      <x:c r="D80"/>
      <x:c r="E80"/>
      <x:c r="F80"/>
      <x:c r="G80"/>
      <x:c r="H80"/>
      <x:c r="I80"/>
      <x:c r="J80"/>
      <x:c r="K80"/>
      <x:c r="L80"/>
      <x:c r="M80"/>
      <x:c r="N80"/>
    </x:row>
    <x:row r="81">
      <x:c r="D81"/>
      <x:c r="E81"/>
      <x:c r="F81"/>
      <x:c r="G81"/>
      <x:c r="H81"/>
      <x:c r="I81"/>
      <x:c r="J81"/>
      <x:c r="K81"/>
      <x:c r="L81"/>
      <x:c r="M81"/>
      <x:c r="N81"/>
    </x:row>
    <x:row r="82">
      <x:c r="D82"/>
      <x:c r="E82"/>
      <x:c r="F82"/>
      <x:c r="G82"/>
      <x:c r="H82"/>
      <x:c r="I82"/>
      <x:c r="J82"/>
      <x:c r="K82"/>
      <x:c r="L82"/>
      <x:c r="M82"/>
      <x:c r="N82"/>
    </x:row>
    <x:row r="83">
      <x:c r="D83"/>
      <x:c r="E83"/>
      <x:c r="F83"/>
      <x:c r="G83"/>
      <x:c r="H83"/>
      <x:c r="I83"/>
      <x:c r="J83"/>
      <x:c r="K83"/>
      <x:c r="L83"/>
      <x:c r="M83"/>
      <x:c r="N83"/>
    </x:row>
    <x:row r="84">
      <x:c r="D84"/>
      <x:c r="E84"/>
      <x:c r="F84"/>
      <x:c r="G84"/>
      <x:c r="H84"/>
      <x:c r="I84"/>
      <x:c r="J84"/>
      <x:c r="K84"/>
      <x:c r="L84"/>
      <x:c r="M84"/>
      <x:c r="N84"/>
    </x:row>
    <x:row r="85">
      <x:c r="D85"/>
      <x:c r="E85"/>
      <x:c r="F85"/>
      <x:c r="G85"/>
      <x:c r="H85"/>
      <x:c r="I85"/>
      <x:c r="J85"/>
      <x:c r="K85"/>
      <x:c r="L85"/>
      <x:c r="M85"/>
      <x:c r="N85"/>
    </x:row>
    <x:row r="86">
      <x:c r="D86"/>
      <x:c r="E86"/>
      <x:c r="F86"/>
      <x:c r="G86"/>
      <x:c r="H86"/>
      <x:c r="I86"/>
      <x:c r="J86"/>
      <x:c r="K86"/>
      <x:c r="L86"/>
      <x:c r="M86"/>
      <x:c r="N86"/>
    </x:row>
    <x:row r="87">
      <x:c r="D87"/>
      <x:c r="E87"/>
      <x:c r="F87"/>
      <x:c r="G87"/>
      <x:c r="H87"/>
      <x:c r="I87"/>
      <x:c r="J87"/>
      <x:c r="K87"/>
      <x:c r="L87"/>
      <x:c r="M87"/>
      <x:c r="N87"/>
    </x:row>
    <x:row r="88">
      <x:c r="D88"/>
      <x:c r="E88"/>
      <x:c r="F88"/>
      <x:c r="G88"/>
      <x:c r="H88"/>
      <x:c r="I88"/>
      <x:c r="J88"/>
      <x:c r="K88"/>
      <x:c r="L88"/>
      <x:c r="M88"/>
      <x:c r="N88"/>
    </x:row>
    <x:row r="89">
      <x:c r="D89"/>
      <x:c r="E89"/>
      <x:c r="F89"/>
      <x:c r="G89"/>
      <x:c r="H89"/>
      <x:c r="I89"/>
      <x:c r="J89"/>
      <x:c r="K89"/>
      <x:c r="L89"/>
      <x:c r="M89"/>
      <x:c r="N89"/>
    </x:row>
    <x:row r="90">
      <x:c r="D90"/>
      <x:c r="E90"/>
      <x:c r="F90"/>
      <x:c r="G90"/>
      <x:c r="H90"/>
      <x:c r="I90"/>
      <x:c r="J90"/>
      <x:c r="K90"/>
      <x:c r="L90"/>
      <x:c r="M90"/>
      <x:c r="N90"/>
    </x:row>
    <x:row r="91">
      <x:c r="D91"/>
      <x:c r="E91"/>
      <x:c r="F91"/>
      <x:c r="G91"/>
      <x:c r="H91"/>
      <x:c r="I91"/>
      <x:c r="J91"/>
      <x:c r="K91"/>
      <x:c r="L91"/>
      <x:c r="M91"/>
      <x:c r="N91"/>
    </x:row>
    <x:row r="92">
      <x:c r="D92"/>
      <x:c r="E92"/>
      <x:c r="F92"/>
      <x:c r="G92"/>
      <x:c r="H92"/>
      <x:c r="I92"/>
      <x:c r="J92"/>
      <x:c r="K92"/>
      <x:c r="L92"/>
      <x:c r="M92"/>
      <x:c r="N92"/>
    </x:row>
    <x:row r="93">
      <x:c r="D93"/>
      <x:c r="E93"/>
      <x:c r="F93"/>
      <x:c r="G93"/>
      <x:c r="H93"/>
      <x:c r="I93"/>
      <x:c r="J93"/>
      <x:c r="K93"/>
      <x:c r="L93"/>
      <x:c r="M93"/>
      <x:c r="N93"/>
    </x:row>
    <x:row r="94">
      <x:c r="D94"/>
      <x:c r="E94"/>
      <x:c r="F94"/>
      <x:c r="G94"/>
      <x:c r="H94"/>
      <x:c r="I94"/>
      <x:c r="J94"/>
      <x:c r="K94"/>
      <x:c r="L94"/>
      <x:c r="M94"/>
      <x:c r="N94"/>
    </x:row>
    <x:row r="95">
      <x:c r="D95"/>
      <x:c r="E95"/>
      <x:c r="F95"/>
      <x:c r="G95"/>
      <x:c r="H95"/>
      <x:c r="I95"/>
      <x:c r="J95"/>
      <x:c r="K95"/>
      <x:c r="L95"/>
      <x:c r="M95"/>
      <x:c r="N95"/>
    </x:row>
    <x:row r="96">
      <x:c r="D96"/>
      <x:c r="E96"/>
      <x:c r="F96"/>
      <x:c r="G96"/>
      <x:c r="H96"/>
      <x:c r="I96"/>
      <x:c r="J96"/>
      <x:c r="K96"/>
      <x:c r="L96"/>
      <x:c r="M96"/>
      <x:c r="N96"/>
    </x:row>
    <x:row r="97">
      <x:c r="D97"/>
      <x:c r="E97"/>
      <x:c r="F97"/>
      <x:c r="G97"/>
      <x:c r="H97"/>
      <x:c r="I97"/>
      <x:c r="J97"/>
      <x:c r="K97"/>
      <x:c r="L97"/>
      <x:c r="M97"/>
      <x:c r="N97"/>
    </x:row>
    <x:row r="98">
      <x:c r="D98"/>
      <x:c r="E98"/>
      <x:c r="F98"/>
      <x:c r="G98"/>
      <x:c r="H98"/>
      <x:c r="I98"/>
      <x:c r="J98"/>
      <x:c r="K98"/>
      <x:c r="L98"/>
      <x:c r="M98"/>
      <x:c r="N98"/>
    </x:row>
    <x:row r="99">
      <x:c r="D99"/>
      <x:c r="E99"/>
      <x:c r="F99"/>
      <x:c r="G99"/>
      <x:c r="H99"/>
      <x:c r="I99"/>
      <x:c r="J99"/>
      <x:c r="K99"/>
      <x:c r="L99"/>
      <x:c r="M99"/>
      <x:c r="N99"/>
    </x:row>
    <x:row r="100">
      <x:c r="D100"/>
      <x:c r="E100"/>
      <x:c r="F100"/>
      <x:c r="G100"/>
      <x:c r="H100"/>
      <x:c r="I100"/>
      <x:c r="J100"/>
      <x:c r="K100"/>
      <x:c r="L100"/>
      <x:c r="M100"/>
      <x:c r="N100"/>
    </x:row>
    <x:row r="101">
      <x:c r="D101"/>
      <x:c r="E101"/>
      <x:c r="F101"/>
      <x:c r="G101"/>
      <x:c r="H101"/>
      <x:c r="I101"/>
      <x:c r="J101"/>
      <x:c r="K101"/>
      <x:c r="L101"/>
      <x:c r="M101"/>
      <x:c r="N101"/>
    </x:row>
    <x:row r="102">
      <x:c r="D102"/>
      <x:c r="E102"/>
      <x:c r="F102"/>
      <x:c r="G102"/>
      <x:c r="H102"/>
      <x:c r="I102"/>
      <x:c r="J102"/>
      <x:c r="K102"/>
      <x:c r="L102"/>
      <x:c r="M102"/>
      <x:c r="N102"/>
    </x:row>
    <x:row r="103">
      <x:c r="D103"/>
      <x:c r="E103"/>
      <x:c r="F103"/>
      <x:c r="G103"/>
      <x:c r="H103"/>
      <x:c r="I103"/>
      <x:c r="J103"/>
      <x:c r="K103"/>
      <x:c r="L103"/>
      <x:c r="M103"/>
      <x:c r="N103"/>
    </x:row>
    <x:row r="104">
      <x:c r="D104"/>
      <x:c r="E104"/>
      <x:c r="F104"/>
      <x:c r="G104"/>
      <x:c r="H104"/>
      <x:c r="I104"/>
      <x:c r="J104"/>
      <x:c r="K104"/>
      <x:c r="L104"/>
      <x:c r="M104"/>
      <x:c r="N104"/>
    </x:row>
    <x:row r="105">
      <x:c r="D105"/>
      <x:c r="E105"/>
      <x:c r="F105"/>
      <x:c r="G105"/>
      <x:c r="H105"/>
      <x:c r="I105"/>
      <x:c r="J105"/>
      <x:c r="K105"/>
      <x:c r="L105"/>
      <x:c r="M105"/>
      <x:c r="N105"/>
    </x:row>
    <x:row r="106">
      <x:c r="D106"/>
      <x:c r="E106"/>
      <x:c r="F106"/>
      <x:c r="G106"/>
      <x:c r="H106"/>
      <x:c r="I106"/>
      <x:c r="J106"/>
      <x:c r="K106"/>
      <x:c r="L106"/>
      <x:c r="M106"/>
      <x:c r="N106"/>
    </x:row>
    <x:row r="107">
      <x:c r="D107"/>
      <x:c r="E107"/>
      <x:c r="F107"/>
      <x:c r="G107"/>
      <x:c r="H107"/>
      <x:c r="I107"/>
      <x:c r="J107"/>
      <x:c r="K107"/>
      <x:c r="L107"/>
      <x:c r="M107"/>
      <x:c r="N107"/>
    </x:row>
    <x:row r="108">
      <x:c r="D108"/>
      <x:c r="E108"/>
      <x:c r="F108"/>
      <x:c r="G108"/>
      <x:c r="H108"/>
      <x:c r="I108"/>
      <x:c r="J108"/>
      <x:c r="K108"/>
      <x:c r="L108"/>
      <x:c r="M108"/>
      <x:c r="N108"/>
    </x:row>
    <x:row r="109">
      <x:c r="D109"/>
      <x:c r="E109"/>
      <x:c r="F109"/>
      <x:c r="G109"/>
      <x:c r="H109"/>
      <x:c r="I109"/>
      <x:c r="J109"/>
      <x:c r="K109"/>
      <x:c r="L109"/>
      <x:c r="M109"/>
      <x:c r="N109"/>
    </x:row>
    <x:row r="110">
      <x:c r="D110"/>
      <x:c r="E110"/>
      <x:c r="F110"/>
      <x:c r="G110"/>
      <x:c r="H110"/>
      <x:c r="I110"/>
      <x:c r="J110"/>
      <x:c r="K110"/>
      <x:c r="L110"/>
      <x:c r="M110"/>
      <x:c r="N110"/>
    </x:row>
    <x:row r="111">
      <x:c r="D111"/>
      <x:c r="E111"/>
      <x:c r="F111"/>
      <x:c r="G111"/>
      <x:c r="H111"/>
      <x:c r="I111"/>
      <x:c r="J111"/>
      <x:c r="K111"/>
      <x:c r="L111"/>
      <x:c r="M111"/>
      <x:c r="N111"/>
    </x:row>
    <x:row r="112">
      <x:c r="D112"/>
      <x:c r="E112"/>
      <x:c r="F112"/>
      <x:c r="G112"/>
      <x:c r="H112"/>
      <x:c r="I112"/>
      <x:c r="J112"/>
      <x:c r="K112"/>
      <x:c r="L112"/>
      <x:c r="M112"/>
      <x:c r="N112"/>
    </x:row>
    <x:row r="113">
      <x:c r="D113"/>
      <x:c r="E113"/>
      <x:c r="F113"/>
      <x:c r="G113"/>
      <x:c r="H113"/>
      <x:c r="I113"/>
      <x:c r="J113"/>
      <x:c r="K113"/>
      <x:c r="L113"/>
      <x:c r="M113"/>
      <x:c r="N113"/>
    </x:row>
    <x:row r="114">
      <x:c r="D114"/>
      <x:c r="E114"/>
      <x:c r="F114"/>
      <x:c r="G114"/>
      <x:c r="H114"/>
      <x:c r="I114"/>
      <x:c r="J114"/>
      <x:c r="K114"/>
      <x:c r="L114"/>
      <x:c r="M114"/>
      <x:c r="N114"/>
    </x:row>
    <x:row r="115">
      <x:c r="D115"/>
      <x:c r="E115"/>
      <x:c r="F115"/>
      <x:c r="G115"/>
      <x:c r="H115"/>
      <x:c r="I115"/>
      <x:c r="J115"/>
      <x:c r="K115"/>
      <x:c r="L115"/>
      <x:c r="M115"/>
      <x:c r="N115"/>
    </x:row>
  </x:sheetData>
  <x:pageMargins left="0.7" right="0.7" top="0.75" bottom="0.75" header="0.3" footer="0.3"/>
  <x:tableParts count="1">
    <x:tablePart xmlns:r="http://schemas.openxmlformats.org/officeDocument/2006/relationships" r:id="R51fb8152dcea45cf"/>
  </x:tableParts>
</x:worksheet>
</file>

<file path=xl/worksheets/sheet11.xml><?xml version="1.0" encoding="utf-8"?>
<x:worksheet xmlns:x="http://schemas.openxmlformats.org/spreadsheetml/2006/main">
  <x:sheetFormatPr defaultRowHeight="15"/>
  <x:cols>
    <x:col min="8" max="8" width="16" hidden="0" customWidth="1"/>
    <x:col min="9" max="9" width="18" hidden="0" customWidth="1"/>
    <x:col min="10" max="10" width="18" hidden="0" customWidth="1"/>
    <x:col min="11" max="11" width="12" hidden="0" customWidth="1"/>
    <x:col min="12" max="12" width="12" hidden="0" customWidth="1"/>
  </x:cols>
  <x:sheetData>
    <x:row r="1">
      <x:c r="A1" s="4" t="str">
        <x:v>Northstar Office Supplies - Monthly Report Practice</x:v>
      </x:c>
      <x:c r="B1" s="4"/>
      <x:c r="C1" s="4"/>
      <x:c r="D1" s="4"/>
      <x:c r="E1" s="4"/>
      <x:c r="F1" s="4"/>
      <x:c r="H1" s="51" t="str">
        <x:v>QA reference</x:v>
      </x:c>
      <x:c r="I1" s="51" t="str">
        <x:v>Revenue</x:v>
      </x:c>
      <x:c r="J1" s="51" t="str">
        <x:v>Completed Revenue</x:v>
      </x:c>
      <x:c r="K1" s="51" t="str">
        <x:v>Orders</x:v>
      </x:c>
      <x:c r="L1" s="51" t="str">
        <x:v>Pending</x:v>
      </x:c>
    </x:row>
    <x:row r="2">
      <x:c r="H2" s="13" t="str">
        <x:v>2026-01</x:v>
      </x:c>
      <x:c r="I2" s="40" t="n">
        <x:v>11895.49</x:v>
      </x:c>
      <x:c r="J2" s="40" t="n">
        <x:v>8407.9</x:v>
      </x:c>
      <x:c r="K2" s="13" t="n">
        <x:v>60</x:v>
      </x:c>
      <x:c r="L2" s="13" t="n">
        <x:v>11</x:v>
      </x:c>
    </x:row>
    <x:row r="3">
      <x:c r="A3" s="27" t="str">
        <x:v>KPI</x:v>
      </x:c>
      <x:c r="B3" s="27" t="str">
        <x:v>Formula to build in the book</x:v>
      </x:c>
      <x:c r="H3" s="13" t="str">
        <x:v>2026-02</x:v>
      </x:c>
      <x:c r="I3" s="40" t="n">
        <x:v>9882.07</x:v>
      </x:c>
      <x:c r="J3" s="40" t="n">
        <x:v>7258.56</x:v>
      </x:c>
      <x:c r="K3" s="13" t="n">
        <x:v>53</x:v>
      </x:c>
      <x:c r="L3" s="13" t="n">
        <x:v>10</x:v>
      </x:c>
    </x:row>
    <x:row r="4">
      <x:c r="A4" s="9" t="str">
        <x:v>Total Revenue</x:v>
      </x:c>
      <x:c r="B4" t="str">
        <x:v>SUM or SUMIFS</x:v>
      </x:c>
      <x:c r="H4" s="13" t="str">
        <x:v>2026-03</x:v>
      </x:c>
      <x:c r="I4" s="40" t="n">
        <x:v>12318.33</x:v>
      </x:c>
      <x:c r="J4" s="40" t="n">
        <x:v>8313.77</x:v>
      </x:c>
      <x:c r="K4" s="13" t="n">
        <x:v>65</x:v>
      </x:c>
      <x:c r="L4" s="13" t="n">
        <x:v>13</x:v>
      </x:c>
    </x:row>
    <x:row r="5">
      <x:c r="A5" s="9" t="str">
        <x:v>Completed Revenue</x:v>
      </x:c>
      <x:c r="B5" t="str">
        <x:v>SUMIFS</x:v>
      </x:c>
      <x:c r="H5" s="13" t="str">
        <x:v>2026-04</x:v>
      </x:c>
      <x:c r="I5" s="40" t="n">
        <x:v>16342.31</x:v>
      </x:c>
      <x:c r="J5" s="40" t="n">
        <x:v>12796.86</x:v>
      </x:c>
      <x:c r="K5" s="13" t="n">
        <x:v>73</x:v>
      </x:c>
      <x:c r="L5" s="13" t="n">
        <x:v>12</x:v>
      </x:c>
    </x:row>
    <x:row r="6">
      <x:c r="A6" s="9" t="str">
        <x:v>Completed Orders</x:v>
      </x:c>
      <x:c r="B6" t="str">
        <x:v>COUNTIF</x:v>
      </x:c>
      <x:c r="H6" s="13" t="str">
        <x:v>2026-05</x:v>
      </x:c>
      <x:c r="I6" s="40" t="n">
        <x:v>10099.57</x:v>
      </x:c>
      <x:c r="J6" s="40" t="n">
        <x:v>7344.92</x:v>
      </x:c>
      <x:c r="K6" s="13" t="n">
        <x:v>51</x:v>
      </x:c>
      <x:c r="L6" s="13" t="n">
        <x:v>8</x:v>
      </x:c>
    </x:row>
    <x:row r="7">
      <x:c r="A7" s="9" t="str">
        <x:v>Average Completed Order</x:v>
      </x:c>
      <x:c r="B7" t="str">
        <x:v>AVERAGEIF</x:v>
      </x:c>
      <x:c r="H7" s="13" t="str">
        <x:v>2026-06</x:v>
      </x:c>
      <x:c r="I7" s="40" t="n">
        <x:v>12395.17</x:v>
      </x:c>
      <x:c r="J7" s="40" t="n">
        <x:v>8994.77</x:v>
      </x:c>
      <x:c r="K7" s="13" t="n">
        <x:v>62</x:v>
      </x:c>
      <x:c r="L7" s="13" t="n">
        <x:v>13</x:v>
      </x:c>
    </x:row>
    <x:row r="8">
      <x:c r="A8" s="9" t="str">
        <x:v>Top Region</x:v>
      </x:c>
      <x:c r="B8" t="str">
        <x:v>PivotTable or summary</x:v>
      </x:c>
      <x:c r="H8" s="13" t="str">
        <x:v>2026-07</x:v>
      </x:c>
      <x:c r="I8" s="40" t="n">
        <x:v>12308.88</x:v>
      </x:c>
      <x:c r="J8" s="40" t="n">
        <x:v>9409.15</x:v>
      </x:c>
      <x:c r="K8" s="13" t="n">
        <x:v>74</x:v>
      </x:c>
      <x:c r="L8" s="13" t="n">
        <x:v>12</x:v>
      </x:c>
    </x:row>
    <x:row r="9">
      <x:c r="A9" s="9" t="str">
        <x:v>Pending Orders</x:v>
      </x:c>
      <x:c r="B9" t="str">
        <x:v>COUNTIF</x:v>
      </x:c>
      <x:c r="H9" s="13" t="str">
        <x:v>2026-08</x:v>
      </x:c>
      <x:c r="I9" s="40" t="n">
        <x:v>11204.44</x:v>
      </x:c>
      <x:c r="J9" s="40" t="n">
        <x:v>8414.76</x:v>
      </x:c>
      <x:c r="K9" s="13" t="n">
        <x:v>62</x:v>
      </x:c>
      <x:c r="L9" s="13" t="n">
        <x:v>9</x:v>
      </x:c>
    </x:row>
    <x:row r="12">
      <x:c r="A12" s="27" t="str">
        <x:v>Month</x:v>
      </x:c>
      <x:c r="B12" s="27" t="str">
        <x:v>Revenue</x:v>
      </x:c>
      <x:c r="C12" s="27" t="str">
        <x:v>Completed Revenue</x:v>
      </x:c>
      <x:c r="D12" s="27" t="str">
        <x:v>Orders</x:v>
      </x:c>
      <x:c r="E12" s="27" t="str">
        <x:v>Pending</x:v>
      </x:c>
      <x:c r="F12" s="27" t="str">
        <x:v>Notes</x:v>
      </x:c>
    </x:row>
    <x:row r="13">
      <x:c r="A13" s="32" t="n">
        <x:v>46023</x:v>
      </x:c>
      <x:c r="B13" t="str">
        <x:v>Build during Problem 50</x:v>
      </x:c>
      <x:c r="C13"/>
      <x:c r="D13"/>
      <x:c r="E13"/>
      <x:c r="F13"/>
    </x:row>
    <x:row r="14">
      <x:c r="A14" s="32" t="n">
        <x:v>46054</x:v>
      </x:c>
      <x:c r="B14" t="str">
        <x:v>Build during Problem 50</x:v>
      </x:c>
      <x:c r="C14"/>
      <x:c r="D14"/>
      <x:c r="E14"/>
      <x:c r="F14"/>
    </x:row>
    <x:row r="15">
      <x:c r="A15" s="32" t="n">
        <x:v>46082</x:v>
      </x:c>
      <x:c r="B15" t="str">
        <x:v>Build during Problem 50</x:v>
      </x:c>
      <x:c r="C15"/>
      <x:c r="D15"/>
      <x:c r="E15"/>
      <x:c r="F15"/>
    </x:row>
    <x:row r="16">
      <x:c r="A16" s="32" t="n">
        <x:v>46113</x:v>
      </x:c>
      <x:c r="B16" t="str">
        <x:v>Build during Problem 50</x:v>
      </x:c>
      <x:c r="C16"/>
      <x:c r="D16"/>
      <x:c r="E16"/>
      <x:c r="F16"/>
    </x:row>
    <x:row r="17">
      <x:c r="A17" s="32" t="n">
        <x:v>46143</x:v>
      </x:c>
      <x:c r="B17" t="str">
        <x:v>Build during Problem 50</x:v>
      </x:c>
      <x:c r="C17"/>
      <x:c r="D17"/>
      <x:c r="E17"/>
      <x:c r="F17"/>
    </x:row>
    <x:row r="18">
      <x:c r="A18" s="32" t="n">
        <x:v>46174</x:v>
      </x:c>
      <x:c r="B18" t="str">
        <x:v>Build during Problem 50</x:v>
      </x:c>
      <x:c r="C18"/>
      <x:c r="D18"/>
      <x:c r="E18"/>
      <x:c r="F18"/>
    </x:row>
    <x:row r="19">
      <x:c r="A19" s="32" t="n">
        <x:v>46204</x:v>
      </x:c>
      <x:c r="B19" t="str">
        <x:v>Build during Problem 50</x:v>
      </x:c>
      <x:c r="C19"/>
      <x:c r="D19"/>
      <x:c r="E19"/>
      <x:c r="F19"/>
    </x:row>
    <x:row r="20">
      <x:c r="A20" s="32" t="n">
        <x:v>46235</x:v>
      </x:c>
      <x:c r="B20" t="str">
        <x:v>Build during Problem 50</x:v>
      </x:c>
      <x:c r="C20"/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4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68" t="str">
        <x:v>Charts Lab: Turn Metrics into a Story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</x:row>
    <x:row r="2">
      <x:c r="A2" s="69" t="str">
        <x:v>Use these summaries to practice choosing the right chart, improving it, and explaining the business insight.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70" t="str">
        <x:v>Month</x:v>
      </x:c>
      <x:c r="B4" s="70" t="str">
        <x:v>Revenue</x:v>
      </x:c>
      <x:c r="C4" s="70" t="str">
        <x:v>Completed Revenue</x:v>
      </x:c>
      <x:c r="D4" s="70" t="str">
        <x:v>Orders</x:v>
      </x:c>
      <x:c r="E4" s="70" t="str">
        <x:v>Completed</x:v>
      </x:c>
      <x:c r="F4" s="70" t="str">
        <x:v>Pending</x:v>
      </x:c>
      <x:c r="G4" s="70" t="str">
        <x:v>Cancelled</x:v>
      </x:c>
      <x:c r="H4" s="13"/>
      <x:c r="I4" s="70" t="str">
        <x:v>Region</x:v>
      </x:c>
      <x:c r="J4" s="70" t="str">
        <x:v>Revenue</x:v>
      </x:c>
      <x:c r="K4" s="70" t="str">
        <x:v>Orders</x:v>
      </x:c>
      <x:c r="L4" s="13"/>
      <x:c r="M4" s="13"/>
      <x:c r="N4" s="13"/>
      <x:c r="O4" s="13"/>
      <x:c r="P4" s="13"/>
      <x:c r="Q4" s="13"/>
      <x:c r="R4" s="13"/>
    </x:row>
    <x:row r="5">
      <x:c r="A5" s="13" t="str">
        <x:v>2026-01</x:v>
      </x:c>
      <x:c r="B5" s="40" t="n">
        <x:v>11895.49</x:v>
      </x:c>
      <x:c r="C5" s="40" t="n">
        <x:v>8407.9</x:v>
      </x:c>
      <x:c r="D5" s="13" t="n">
        <x:v>60</x:v>
      </x:c>
      <x:c r="E5" s="13" t="n">
        <x:v>40</x:v>
      </x:c>
      <x:c r="F5" s="13" t="n">
        <x:v>11</x:v>
      </x:c>
      <x:c r="G5" s="13" t="n">
        <x:v>9</x:v>
      </x:c>
      <x:c r="H5" s="13"/>
      <x:c r="I5" s="13" t="str">
        <x:v>GTA West</x:v>
      </x:c>
      <x:c r="J5" s="40" t="n">
        <x:v>21467.28</x:v>
      </x:c>
      <x:c r="K5" s="13" t="n">
        <x:v>107</x:v>
      </x:c>
      <x:c r="L5" s="13"/>
      <x:c r="M5" s="13"/>
      <x:c r="N5" s="13"/>
      <x:c r="O5" s="13"/>
      <x:c r="P5" s="13"/>
      <x:c r="Q5" s="13"/>
      <x:c r="R5" s="13"/>
    </x:row>
    <x:row r="6">
      <x:c r="A6" s="13" t="str">
        <x:v>2026-02</x:v>
      </x:c>
      <x:c r="B6" s="40" t="n">
        <x:v>9882.07</x:v>
      </x:c>
      <x:c r="C6" s="40" t="n">
        <x:v>7258.56</x:v>
      </x:c>
      <x:c r="D6" s="13" t="n">
        <x:v>53</x:v>
      </x:c>
      <x:c r="E6" s="13" t="n">
        <x:v>40</x:v>
      </x:c>
      <x:c r="F6" s="13" t="n">
        <x:v>10</x:v>
      </x:c>
      <x:c r="G6" s="13" t="n">
        <x:v>3</x:v>
      </x:c>
      <x:c r="H6" s="13"/>
      <x:c r="I6" s="13" t="str">
        <x:v>Ottawa</x:v>
      </x:c>
      <x:c r="J6" s="40" t="n">
        <x:v>20743.2</x:v>
      </x:c>
      <x:c r="K6" s="13" t="n">
        <x:v>109</x:v>
      </x:c>
      <x:c r="L6" s="13"/>
      <x:c r="M6" s="13"/>
      <x:c r="N6" s="13"/>
      <x:c r="O6" s="13"/>
      <x:c r="P6" s="13"/>
      <x:c r="Q6" s="13"/>
      <x:c r="R6" s="13"/>
    </x:row>
    <x:row r="7">
      <x:c r="A7" s="13" t="str">
        <x:v>2026-03</x:v>
      </x:c>
      <x:c r="B7" s="40" t="n">
        <x:v>12318.33</x:v>
      </x:c>
      <x:c r="C7" s="40" t="n">
        <x:v>8313.77</x:v>
      </x:c>
      <x:c r="D7" s="13" t="n">
        <x:v>65</x:v>
      </x:c>
      <x:c r="E7" s="13" t="n">
        <x:v>44</x:v>
      </x:c>
      <x:c r="F7" s="13" t="n">
        <x:v>13</x:v>
      </x:c>
      <x:c r="G7" s="13" t="n">
        <x:v>8</x:v>
      </x:c>
      <x:c r="H7" s="13"/>
      <x:c r="I7" s="13" t="str">
        <x:v>Southwestern ON</x:v>
      </x:c>
      <x:c r="J7" s="40" t="n">
        <x:v>19582.31</x:v>
      </x:c>
      <x:c r="K7" s="13" t="n">
        <x:v>109</x:v>
      </x:c>
      <x:c r="L7" s="13"/>
      <x:c r="M7" s="13"/>
      <x:c r="N7" s="13"/>
      <x:c r="O7" s="13"/>
      <x:c r="P7" s="13"/>
      <x:c r="Q7" s="13"/>
      <x:c r="R7" s="13"/>
    </x:row>
    <x:row r="8">
      <x:c r="A8" s="13" t="str">
        <x:v>2026-04</x:v>
      </x:c>
      <x:c r="B8" s="40" t="n">
        <x:v>16342.31</x:v>
      </x:c>
      <x:c r="C8" s="40" t="n">
        <x:v>12796.86</x:v>
      </x:c>
      <x:c r="D8" s="13" t="n">
        <x:v>73</x:v>
      </x:c>
      <x:c r="E8" s="13" t="n">
        <x:v>57</x:v>
      </x:c>
      <x:c r="F8" s="13" t="n">
        <x:v>12</x:v>
      </x:c>
      <x:c r="G8" s="13" t="n">
        <x:v>4</x:v>
      </x:c>
      <x:c r="H8" s="13"/>
      <x:c r="I8" s="13" t="str">
        <x:v>Western Canada</x:v>
      </x:c>
      <x:c r="J8" s="40" t="n">
        <x:v>18727.23</x:v>
      </x:c>
      <x:c r="K8" s="13" t="n">
        <x:v>97</x:v>
      </x:c>
      <x:c r="L8" s="13"/>
      <x:c r="M8" s="13"/>
      <x:c r="N8" s="13"/>
      <x:c r="O8" s="13"/>
      <x:c r="P8" s="13"/>
      <x:c r="Q8" s="13"/>
      <x:c r="R8" s="13"/>
    </x:row>
    <x:row r="9">
      <x:c r="A9" s="13" t="str">
        <x:v>2026-05</x:v>
      </x:c>
      <x:c r="B9" s="40" t="n">
        <x:v>10099.57</x:v>
      </x:c>
      <x:c r="C9" s="40" t="n">
        <x:v>7344.92</x:v>
      </x:c>
      <x:c r="D9" s="13" t="n">
        <x:v>51</x:v>
      </x:c>
      <x:c r="E9" s="13" t="n">
        <x:v>38</x:v>
      </x:c>
      <x:c r="F9" s="13" t="n">
        <x:v>8</x:v>
      </x:c>
      <x:c r="G9" s="13" t="n">
        <x:v>5</x:v>
      </x:c>
      <x:c r="H9" s="13"/>
      <x:c r="I9" s="13" t="str">
        <x:v>Toronto</x:v>
      </x:c>
      <x:c r="J9" s="40" t="n">
        <x:v>15926.24</x:v>
      </x:c>
      <x:c r="K9" s="13" t="n">
        <x:v>78</x:v>
      </x:c>
      <x:c r="L9" s="13"/>
      <x:c r="M9" s="13"/>
      <x:c r="N9" s="13"/>
      <x:c r="O9" s="13"/>
      <x:c r="P9" s="13"/>
      <x:c r="Q9" s="13"/>
      <x:c r="R9" s="13"/>
    </x:row>
    <x:row r="10">
      <x:c r="A10" s="13" t="str">
        <x:v>2026-06</x:v>
      </x:c>
      <x:c r="B10" s="40" t="n">
        <x:v>12395.17</x:v>
      </x:c>
      <x:c r="C10" s="40" t="n">
        <x:v>8994.77</x:v>
      </x:c>
      <x:c r="D10" s="13" t="n">
        <x:v>62</x:v>
      </x:c>
      <x:c r="E10" s="13" t="n">
        <x:v>43</x:v>
      </x:c>
      <x:c r="F10" s="13" t="n">
        <x:v>13</x:v>
      </x:c>
      <x:c r="G10" s="13" t="n">
        <x:v>6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</x:row>
    <x:row r="11">
      <x:c r="A11" s="13" t="str">
        <x:v>2026-07</x:v>
      </x:c>
      <x:c r="B11" s="40" t="n">
        <x:v>12308.88</x:v>
      </x:c>
      <x:c r="C11" s="40" t="n">
        <x:v>9409.15</x:v>
      </x:c>
      <x:c r="D11" s="13" t="n">
        <x:v>74</x:v>
      </x:c>
      <x:c r="E11" s="13" t="n">
        <x:v>57</x:v>
      </x:c>
      <x:c r="F11" s="13" t="n">
        <x:v>12</x:v>
      </x:c>
      <x:c r="G11" s="13" t="n">
        <x:v>5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</x:row>
    <x:row r="12">
      <x:c r="A12" s="13" t="str">
        <x:v>2026-08</x:v>
      </x:c>
      <x:c r="B12" s="40" t="n">
        <x:v>11204.44</x:v>
      </x:c>
      <x:c r="C12" s="40" t="n">
        <x:v>8414.76</x:v>
      </x:c>
      <x:c r="D12" s="13" t="n">
        <x:v>62</x:v>
      </x:c>
      <x:c r="E12" s="13" t="n">
        <x:v>48</x:v>
      </x:c>
      <x:c r="F12" s="13" t="n">
        <x:v>9</x:v>
      </x:c>
      <x:c r="G12" s="13" t="n">
        <x:v>5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</x:row>
    <x:row r="16">
      <x:c r="A16" s="70" t="str">
        <x:v>Product ID</x:v>
      </x:c>
      <x:c r="B16" s="70" t="str">
        <x:v>Revenue</x:v>
      </x:c>
      <x:c r="C16" s="13"/>
      <x:c r="D16" s="13"/>
      <x:c r="E16" s="13"/>
      <x:c r="F16" s="13"/>
      <x:c r="G16" s="13"/>
      <x:c r="H16" s="13"/>
      <x:c r="I16" s="70" t="str">
        <x:v>Sales Rep</x:v>
      </x:c>
      <x:c r="J16" s="70" t="str">
        <x:v>Revenue</x:v>
      </x:c>
      <x:c r="K16" s="70" t="str">
        <x:v>Orders</x:v>
      </x:c>
      <x:c r="L16" s="13"/>
      <x:c r="M16" s="13"/>
      <x:c r="N16" s="13"/>
      <x:c r="O16" s="13"/>
      <x:c r="P16" s="13"/>
      <x:c r="Q16" s="13"/>
      <x:c r="R16" s="13"/>
    </x:row>
    <x:row r="17">
      <x:c r="A17" s="13" t="str">
        <x:v>P062</x:v>
      </x:c>
      <x:c r="B17" s="40" t="n">
        <x:v>5879.99</x:v>
      </x:c>
      <x:c r="C17" s="13"/>
      <x:c r="D17" s="13"/>
      <x:c r="E17" s="13"/>
      <x:c r="F17" s="13"/>
      <x:c r="G17" s="13"/>
      <x:c r="H17" s="13"/>
      <x:c r="I17" s="13" t="str">
        <x:v>Riley</x:v>
      </x:c>
      <x:c r="J17" s="40" t="n">
        <x:v>18905.16</x:v>
      </x:c>
      <x:c r="K17" s="13" t="n">
        <x:v>96</x:v>
      </x:c>
      <x:c r="L17" s="13"/>
      <x:c r="M17" s="13"/>
      <x:c r="N17" s="13"/>
      <x:c r="O17" s="13"/>
      <x:c r="P17" s="13"/>
      <x:c r="Q17" s="13"/>
      <x:c r="R17" s="13"/>
    </x:row>
    <x:row r="18">
      <x:c r="A18" s="13" t="str">
        <x:v>P071</x:v>
      </x:c>
      <x:c r="B18" s="40" t="n">
        <x:v>4848.35</x:v>
      </x:c>
      <x:c r="C18" s="13"/>
      <x:c r="D18" s="13"/>
      <x:c r="E18" s="13"/>
      <x:c r="F18" s="13"/>
      <x:c r="G18" s="13"/>
      <x:c r="H18" s="13"/>
      <x:c r="I18" s="13" t="str">
        <x:v>Avery</x:v>
      </x:c>
      <x:c r="J18" s="40" t="n">
        <x:v>17722.75</x:v>
      </x:c>
      <x:c r="K18" s="13" t="n">
        <x:v>79</x:v>
      </x:c>
      <x:c r="L18" s="13"/>
      <x:c r="M18" s="13"/>
      <x:c r="N18" s="13"/>
      <x:c r="O18" s="13"/>
      <x:c r="P18" s="13"/>
      <x:c r="Q18" s="13"/>
      <x:c r="R18" s="13"/>
    </x:row>
    <x:row r="19">
      <x:c r="A19" s="13" t="str">
        <x:v>P068</x:v>
      </x:c>
      <x:c r="B19" s="40" t="n">
        <x:v>3936.08</x:v>
      </x:c>
      <x:c r="C19" s="13"/>
      <x:c r="D19" s="13"/>
      <x:c r="E19" s="13"/>
      <x:c r="F19" s="13"/>
      <x:c r="G19" s="13"/>
      <x:c r="H19" s="13"/>
      <x:c r="I19" s="13" t="str">
        <x:v>Casey</x:v>
      </x:c>
      <x:c r="J19" s="40" t="n">
        <x:v>15626.95</x:v>
      </x:c>
      <x:c r="K19" s="13" t="n">
        <x:v>84</x:v>
      </x:c>
      <x:c r="L19" s="13"/>
      <x:c r="M19" s="13"/>
      <x:c r="N19" s="13"/>
      <x:c r="O19" s="13"/>
      <x:c r="P19" s="13"/>
      <x:c r="Q19" s="13"/>
      <x:c r="R19" s="13"/>
    </x:row>
    <x:row r="20">
      <x:c r="A20" s="13" t="str">
        <x:v>P073</x:v>
      </x:c>
      <x:c r="B20" s="40" t="n">
        <x:v>3004.48</x:v>
      </x:c>
      <x:c r="C20" s="13"/>
      <x:c r="D20" s="13"/>
      <x:c r="E20" s="13"/>
      <x:c r="F20" s="13"/>
      <x:c r="G20" s="13"/>
      <x:c r="H20" s="13"/>
      <x:c r="I20" s="13" t="str">
        <x:v>Taylor</x:v>
      </x:c>
      <x:c r="J20" s="40" t="n">
        <x:v>15129.11</x:v>
      </x:c>
      <x:c r="K20" s="13" t="n">
        <x:v>77</x:v>
      </x:c>
      <x:c r="L20" s="13"/>
      <x:c r="M20" s="13"/>
      <x:c r="N20" s="13"/>
      <x:c r="O20" s="13"/>
      <x:c r="P20" s="13"/>
      <x:c r="Q20" s="13"/>
      <x:c r="R20" s="13"/>
    </x:row>
    <x:row r="21">
      <x:c r="A21" s="13" t="str">
        <x:v>P063</x:v>
      </x:c>
      <x:c r="B21" s="40" t="n">
        <x:v>2856.84</x:v>
      </x:c>
      <x:c r="C21" s="13"/>
      <x:c r="D21" s="13"/>
      <x:c r="E21" s="13"/>
      <x:c r="F21" s="13"/>
      <x:c r="G21" s="13"/>
      <x:c r="H21" s="13"/>
      <x:c r="I21" s="13" t="str">
        <x:v>Jordan</x:v>
      </x:c>
      <x:c r="J21" s="40" t="n">
        <x:v>14553.18</x:v>
      </x:c>
      <x:c r="K21" s="13" t="n">
        <x:v>76</x:v>
      </x:c>
      <x:c r="L21" s="13"/>
      <x:c r="M21" s="13"/>
      <x:c r="N21" s="13"/>
      <x:c r="O21" s="13"/>
      <x:c r="P21" s="13"/>
      <x:c r="Q21" s="13"/>
      <x:c r="R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 t="str">
        <x:v>Morgan</x:v>
      </x:c>
      <x:c r="J22" s="40" t="n">
        <x:v>14509.11</x:v>
      </x:c>
      <x:c r="K22" s="13" t="n">
        <x:v>88</x:v>
      </x:c>
      <x:c r="L22" s="13"/>
      <x:c r="M22" s="13" t="str">
        <x:v>Month</x:v>
      </x:c>
      <x:c r="N22" s="13" t="str">
        <x:v>Completed</x:v>
      </x:c>
      <x:c r="O22" s="13" t="str">
        <x:v>Pending</x:v>
      </x:c>
      <x:c r="P22" s="13" t="str">
        <x:v>Cancelled</x:v>
      </x:c>
      <x:c r="Q22" s="13"/>
      <x:c r="R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 t="str">
        <x:v>2026-01</x:v>
      </x:c>
      <x:c r="N23" s="13" t="n">
        <x:v>40</x:v>
      </x:c>
      <x:c r="O23" s="13" t="n">
        <x:v>11</x:v>
      </x:c>
      <x:c r="P23" s="13" t="n">
        <x:v>9</x:v>
      </x:c>
      <x:c r="Q23" s="13"/>
      <x:c r="R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 t="str">
        <x:v>2026-02</x:v>
      </x:c>
      <x:c r="N24" s="13" t="n">
        <x:v>40</x:v>
      </x:c>
      <x:c r="O24" s="13" t="n">
        <x:v>10</x:v>
      </x:c>
      <x:c r="P24" s="13" t="n">
        <x:v>3</x:v>
      </x:c>
      <x:c r="Q24" s="13"/>
      <x:c r="R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 t="str">
        <x:v>2026-03</x:v>
      </x:c>
      <x:c r="N25" s="13" t="n">
        <x:v>44</x:v>
      </x:c>
      <x:c r="O25" s="13" t="n">
        <x:v>13</x:v>
      </x:c>
      <x:c r="P25" s="13" t="n">
        <x:v>8</x:v>
      </x:c>
      <x:c r="Q25" s="13"/>
      <x:c r="R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 t="str">
        <x:v>2026-04</x:v>
      </x:c>
      <x:c r="N26" s="13" t="n">
        <x:v>57</x:v>
      </x:c>
      <x:c r="O26" s="13" t="n">
        <x:v>12</x:v>
      </x:c>
      <x:c r="P26" s="13" t="n">
        <x:v>4</x:v>
      </x:c>
      <x:c r="Q26" s="13"/>
      <x:c r="R26" s="13"/>
    </x:row>
    <x:row r="27">
      <x:c r="A27" s="70" t="str">
        <x:v>Question</x:v>
      </x:c>
      <x:c r="B27" s="70" t="str">
        <x:v>Recommended visual</x:v>
      </x:c>
      <x:c r="C27" s="70" t="str">
        <x:v>Why</x:v>
      </x:c>
      <x:c r="D27" s="13"/>
      <x:c r="E27" s="13"/>
      <x:c r="F27" s="13"/>
      <x:c r="G27" s="13"/>
      <x:c r="H27" s="13"/>
      <x:c r="I27" s="13"/>
      <x:c r="J27" s="13"/>
      <x:c r="K27" s="13"/>
      <x:c r="L27" s="13"/>
      <x:c r="M27" s="13" t="str">
        <x:v>2026-05</x:v>
      </x:c>
      <x:c r="N27" s="13" t="n">
        <x:v>38</x:v>
      </x:c>
      <x:c r="O27" s="13" t="n">
        <x:v>8</x:v>
      </x:c>
      <x:c r="P27" s="13" t="n">
        <x:v>5</x:v>
      </x:c>
      <x:c r="Q27" s="13"/>
      <x:c r="R27" s="13"/>
    </x:row>
    <x:row r="28">
      <x:c r="A28" s="13" t="str">
        <x:v>How is a metric changing over time?</x:v>
      </x:c>
      <x:c r="B28" s="13" t="str">
        <x:v>Line chart</x:v>
      </x:c>
      <x:c r="C28" s="13" t="str">
        <x:v>Time order is the message.</x:v>
      </x:c>
      <x:c r="D28" s="13"/>
      <x:c r="E28" s="13"/>
      <x:c r="F28" s="13"/>
      <x:c r="G28" s="13"/>
      <x:c r="H28" s="13"/>
      <x:c r="I28" s="13"/>
      <x:c r="J28" s="13"/>
      <x:c r="K28" s="13"/>
      <x:c r="L28" s="13"/>
      <x:c r="M28" s="13" t="str">
        <x:v>2026-06</x:v>
      </x:c>
      <x:c r="N28" s="13" t="n">
        <x:v>43</x:v>
      </x:c>
      <x:c r="O28" s="13" t="n">
        <x:v>13</x:v>
      </x:c>
      <x:c r="P28" s="13" t="n">
        <x:v>6</x:v>
      </x:c>
      <x:c r="Q28" s="13"/>
      <x:c r="R28" s="13"/>
    </x:row>
    <x:row r="29">
      <x:c r="A29" s="13" t="str">
        <x:v>Which category is largest?</x:v>
      </x:c>
      <x:c r="B29" s="13" t="str">
        <x:v>Bar or column chart</x:v>
      </x:c>
      <x:c r="C29" s="13" t="str">
        <x:v>Makes category comparisons easy.</x:v>
      </x:c>
      <x:c r="D29" s="13"/>
      <x:c r="E29" s="13"/>
      <x:c r="F29" s="13"/>
      <x:c r="G29" s="13"/>
      <x:c r="H29" s="13"/>
      <x:c r="I29" s="13"/>
      <x:c r="J29" s="13"/>
      <x:c r="K29" s="13"/>
      <x:c r="L29" s="13"/>
      <x:c r="M29" s="13" t="str">
        <x:v>2026-07</x:v>
      </x:c>
      <x:c r="N29" s="13" t="n">
        <x:v>57</x:v>
      </x:c>
      <x:c r="O29" s="13" t="n">
        <x:v>12</x:v>
      </x:c>
      <x:c r="P29" s="13" t="n">
        <x:v>5</x:v>
      </x:c>
      <x:c r="Q29" s="13"/>
      <x:c r="R29" s="13"/>
    </x:row>
    <x:row r="30">
      <x:c r="A30" s="13" t="str">
        <x:v>How is a total split into a few parts?</x:v>
      </x:c>
      <x:c r="B30" s="13" t="str">
        <x:v>Pie or donut, used sparingly</x:v>
      </x:c>
      <x:c r="C30" s="13" t="str">
        <x:v>Best for a small number of meaningful shares.</x:v>
      </x:c>
      <x:c r="D30" s="13"/>
      <x:c r="E30" s="13"/>
      <x:c r="F30" s="13"/>
      <x:c r="G30" s="13"/>
      <x:c r="H30" s="13"/>
      <x:c r="I30" s="13"/>
      <x:c r="J30" s="13"/>
      <x:c r="K30" s="13"/>
      <x:c r="L30" s="13"/>
      <x:c r="M30" s="13" t="str">
        <x:v>2026-08</x:v>
      </x:c>
      <x:c r="N30" s="13" t="n">
        <x:v>48</x:v>
      </x:c>
      <x:c r="O30" s="13" t="n">
        <x:v>9</x:v>
      </x:c>
      <x:c r="P30" s="13" t="n">
        <x:v>5</x:v>
      </x:c>
      <x:c r="Q30" s="13"/>
      <x:c r="R30" s="13"/>
    </x:row>
    <x:row r="31">
      <x:c r="A31" s="13" t="str">
        <x:v>How do status counts change by month?</x:v>
      </x:c>
      <x:c r="B31" s="13" t="str">
        <x:v>Stacked column chart</x:v>
      </x:c>
      <x:c r="C31" s="13" t="str">
        <x:v>Shows total volume and composition together.</x:v>
      </x:c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</x:row>
    <x:row r="32">
      <x:c r="A32" s="13" t="str">
        <x:v>How do two related metrics move together?</x:v>
      </x:c>
      <x:c r="B32" s="13" t="str">
        <x:v>Combo chart</x:v>
      </x:c>
      <x:c r="C32" s="13" t="str">
        <x:v>Useful when measures have different units or scales.</x:v>
      </x:c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</x:row>
    <x:row r="33">
      <x:c r="A33" s="13" t="str">
        <x:v>Which items need attention?</x:v>
      </x:c>
      <x:c r="B33" s="13" t="str">
        <x:v>Conditional formatting</x:v>
      </x:c>
      <x:c r="C33" s="13" t="str">
        <x:v>Keeps the visual signal inside the working table.</x:v>
      </x:c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</x:row>
    <x:row r="34">
      <x:c r="A34" s="13" t="str">
        <x:v>How can a long report be filtered interactively?</x:v>
      </x:c>
      <x:c r="B34" s="13" t="str">
        <x:v>PivotChart plus slicer</x:v>
      </x:c>
      <x:c r="C34" s="13" t="str">
        <x:v>Lets readers explore summarized data.</x:v>
      </x:c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</x:row>
  </x:sheetData>
  <x:mergeCells>
    <x:mergeCell ref="A1:R1"/>
    <x:mergeCell ref="A2:R2"/>
  </x:mergeCells>
  <x:pageMargins left="0.7" right="0.7" top="0.75" bottom="0.75" header="0.3" footer="0.3"/>
  <x:drawing xmlns:r="http://schemas.openxmlformats.org/officeDocument/2006/relationships" r:id="R4b7b89b8660b4ef4"/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2" hidden="0" customWidth="1"/>
    <x:col min="3" max="3" width="46" hidden="0" customWidth="1"/>
    <x:col min="4" max="4" width="42" hidden="0" customWidth="1"/>
  </x:cols>
  <x:sheetData>
    <x:row r="1">
      <x:c r="A1" s="79" t="str">
        <x:v>Working Across Sheets and Workbooks</x:v>
      </x:c>
      <x:c r="B1" s="79"/>
      <x:c r="C1" s="79"/>
      <x:c r="D1" s="79"/>
      <x:c r="E1" s="79"/>
      <x:c r="F1" s="79"/>
      <x:c r="G1" s="79"/>
      <x:c r="H1" s="79"/>
    </x:row>
    <x:row r="3">
      <x:c r="A3" s="82" t="str">
        <x:v>Situation</x:v>
      </x:c>
      <x:c r="B3" s="82" t="str">
        <x:v>Example</x:v>
      </x:c>
      <x:c r="C3" s="82" t="str">
        <x:v>What it means</x:v>
      </x:c>
      <x:c r="D3" s="82" t="str">
        <x:v>Practice</x:v>
      </x:c>
    </x:row>
    <x:row r="4">
      <x:c r="A4" s="13" t="str">
        <x:v>Same workbook, another sheet</x:v>
      </x:c>
      <x:c r="B4" s="13" t="str">
        <x:v>=Sales!J2</x:v>
      </x:c>
      <x:c r="C4" s="13" t="str">
        <x:v>Return Revenue from cell J2 on Sales.</x:v>
      </x:c>
      <x:c r="D4" s="13" t="str">
        <x:v>Type = then click Sales!J2.</x:v>
      </x:c>
    </x:row>
    <x:row r="5">
      <x:c r="A5" s="13" t="str">
        <x:v>Sum another sheet</x:v>
      </x:c>
      <x:c r="B5" s="13" t="str">
        <x:v>=SUM(Sales!J2:J501)</x:v>
      </x:c>
      <x:c r="C5" s="13" t="str">
        <x:v>Total a range stored on Sales.</x:v>
      </x:c>
      <x:c r="D5" s="13" t="str">
        <x:v>Compare with the Sales total.</x:v>
      </x:c>
    </x:row>
    <x:row r="6">
      <x:c r="A6" s="13" t="str">
        <x:v>Sheet name contains spaces</x:v>
      </x:c>
      <x:c r="B6" s="13" t="str">
        <x:v>='Monthly Report'!B5</x:v>
      </x:c>
      <x:c r="C6" s="13" t="str">
        <x:v>Single quotes surround sheet names containing spaces. The example is illustrative; the current workbook uses Monthly_Report with an underscore.</x:v>
      </x:c>
      <x:c r="D6" s="13" t="str">
        <x:v>Try with a copied sheet named Monthly Report.</x:v>
      </x:c>
    </x:row>
    <x:row r="7">
      <x:c r="A7" s="13" t="str">
        <x:v>Fixed cross-sheet range</x:v>
      </x:c>
      <x:c r="B7" s="13" t="str">
        <x:v>=SUMIFS(Sales!$J$2:$J$501,Sales!$E$2:$E$501,A14)</x:v>
      </x:c>
      <x:c r="C7" s="13" t="str">
        <x:v>Keep source ranges fixed while a summary criterion moves.</x:v>
      </x:c>
      <x:c r="D7" s="13" t="str">
        <x:v>Copy the formula down a region summary.</x:v>
      </x:c>
    </x:row>
    <x:row r="8">
      <x:c r="A8" s="13" t="str">
        <x:v>Another workbook, source open</x:v>
      </x:c>
      <x:c r="B8" s="13" t="str">
        <x:v>=[Budget_Source.xlsx]Annual!$B$2</x:v>
      </x:c>
      <x:c r="C8" s="13" t="str">
        <x:v>Return a value from another saved workbook.</x:v>
      </x:c>
      <x:c r="D8" s="13" t="str">
        <x:v>Open both files and create the link by clicking the source cell.</x:v>
      </x:c>
    </x:row>
    <x:row r="9">
      <x:c r="A9" s="13" t="str">
        <x:v>Another workbook, source closed</x:v>
      </x:c>
      <x:c r="B9" s="13" t="str">
        <x:v>='C:\Reports\[Budget_Source.xlsx]Annual'!$B$2</x:v>
      </x:c>
      <x:c r="C9" s="13" t="str">
        <x:v>Excel may show the saved file path when the source is closed.</x:v>
      </x:c>
      <x:c r="D9" s="13" t="str">
        <x:v>Move/rename files only after understanding link maintenance.</x:v>
      </x:c>
    </x:row>
    <x:row r="10">
      <x:c r="A10" s="13" t="str">
        <x:v>Workbook Links pane</x:v>
      </x:c>
      <x:c r="B10" s="13" t="str">
        <x:v>Data &gt; Queries and Connections &gt; Workbook Links</x:v>
      </x:c>
      <x:c r="C10" s="13" t="str">
        <x:v>Refresh, change source, inspect, or break workbook links.</x:v>
      </x:c>
      <x:c r="D10" s="13" t="str">
        <x:v>Never break a link without a backup.</x:v>
      </x:c>
    </x:row>
    <x:row r="13">
      <x:c r="A13" s="82" t="str">
        <x:v>Region</x:v>
      </x:c>
      <x:c r="B13" s="82" t="str">
        <x:v>Revenue from Sales</x:v>
      </x:c>
      <x:c r="C13" s="82" t="str">
        <x:v>Completed Revenue</x:v>
      </x:c>
      <x:c r="D13" s="82" t="str">
        <x:v>Why this matters</x:v>
      </x:c>
    </x:row>
    <x:row r="14">
      <x:c r="A14" s="13" t="str">
        <x:v>Toronto</x:v>
      </x:c>
      <x:c r="B14" s="40" t="n">
        <x:f>SUMIF(Sales!$E$2:$E$501,A14,Sales!$J$2:$J$501)</x:f>
        <x:v>15926.240000000003</x:v>
      </x:c>
      <x:c r="C14" s="40" t="n">
        <x:f>SUMIFS(Sales!$J$2:$J$501,Sales!$E$2:$E$501,A14,Sales!$K$2:$K$501,"Completed")</x:f>
        <x:v>10709.090000000004</x:v>
      </x:c>
      <x:c r="D14" s="13" t="str">
        <x:v>Summary sheet reads the source without copying it.</x:v>
      </x:c>
    </x:row>
    <x:row r="15">
      <x:c r="A15" s="13" t="str">
        <x:v>GTA West</x:v>
      </x:c>
      <x:c r="B15" s="40" t="n">
        <x:f>SUMIF(Sales!$E$2:$E$501,A15,Sales!$J$2:$J$501)</x:f>
        <x:v>21467.28</x:v>
      </x:c>
      <x:c r="C15" s="40" t="n">
        <x:f>SUMIFS(Sales!$J$2:$J$501,Sales!$E$2:$E$501,A15,Sales!$K$2:$K$501,"Completed")</x:f>
        <x:v>15030.099999999995</x:v>
      </x:c>
      <x:c r="D15" s="13" t="str">
        <x:v>The criteria cell changes while source ranges stay fixed.</x:v>
      </x:c>
    </x:row>
    <x:row r="16">
      <x:c r="A16" s="13" t="str">
        <x:v>Ottawa</x:v>
      </x:c>
      <x:c r="B16" s="40" t="n">
        <x:f>SUMIF(Sales!$E$2:$E$501,A16,Sales!$J$2:$J$501)</x:f>
        <x:v>20743.199999999997</x:v>
      </x:c>
      <x:c r="C16" s="40" t="n">
        <x:f>SUMIFS(Sales!$J$2:$J$501,Sales!$E$2:$E$501,A16,Sales!$K$2:$K$501,"Completed")</x:f>
        <x:v>15349.61</x:v>
      </x:c>
      <x:c r="D16" s="13" t="str">
        <x:v>Cross-sheet references keep one source of truth.</x:v>
      </x:c>
    </x:row>
    <x:row r="17">
      <x:c r="A17" s="13" t="str">
        <x:v>Southwestern ON</x:v>
      </x:c>
      <x:c r="B17" s="40" t="n">
        <x:f>SUMIF(Sales!$E$2:$E$501,A17,Sales!$J$2:$J$501)</x:f>
        <x:v>19582.31</x:v>
      </x:c>
      <x:c r="C17" s="40" t="n">
        <x:f>SUMIFS(Sales!$J$2:$J$501,Sales!$E$2:$E$501,A17,Sales!$K$2:$K$501,"Completed")</x:f>
        <x:v>14851.05</x:v>
      </x:c>
      <x:c r="D17" s="13" t="str">
        <x:v>Useful for reports and dashboards.</x:v>
      </x:c>
    </x:row>
    <x:row r="18">
      <x:c r="A18" s="13" t="str">
        <x:v>Western Canada</x:v>
      </x:c>
      <x:c r="B18" s="40" t="n">
        <x:f>SUMIF(Sales!$E$2:$E$501,A18,Sales!$J$2:$J$501)</x:f>
        <x:v>18727.230000000003</x:v>
      </x:c>
      <x:c r="C18" s="40" t="n">
        <x:f>SUMIFS(Sales!$J$2:$J$501,Sales!$E$2:$E$501,A18,Sales!$K$2:$K$501,"Completed")</x:f>
        <x:v>15000.840000000006</x:v>
      </x:c>
      <x:c r="D18" s="13" t="str">
        <x:v>Easy to audit back to Sales.</x:v>
      </x:c>
    </x:row>
    <x:row r="19">
      <x:c r="A19" s="13" t="str">
        <x:v>Total</x:v>
      </x:c>
      <x:c r="B19" s="40" t="n">
        <x:f>SUM(B14:B18)</x:f>
        <x:v>96446.26000000001</x:v>
      </x:c>
      <x:c r="C19" s="40" t="n">
        <x:f>SUM(C14:C18)</x:f>
        <x:v>70940.69000000002</x:v>
      </x:c>
      <x:c r="D19" s="13" t="str">
        <x:v>Should reconcile to source totals.</x:v>
      </x:c>
    </x:row>
    <x:row r="22">
      <x:c r="A22" s="85" t="str">
        <x:v>When links are useful</x:v>
      </x:c>
      <x:c r="B22" s="85" t="str">
        <x:v>When links become risky</x:v>
      </x:c>
      <x:c r="C22" s="85" t="str">
        <x:v>Safer alternative</x:v>
      </x:c>
      <x:c r="D22" s="85" t="str">
        <x:v>Rule of thumb</x:v>
      </x:c>
    </x:row>
    <x:row r="23">
      <x:c r="A23" s="13" t="str">
        <x:v>A controlled summary pulls a few values from a maintained source workbook.</x:v>
      </x:c>
      <x:c r="B23" s="13" t="str">
        <x:v>Many reports depend on files that people rename, move, or email around.</x:v>
      </x:c>
      <x:c r="C23" s="13" t="str">
        <x:v>Power Query or a controlled shared source may be better for repeatable imports.</x:v>
      </x:c>
      <x:c r="D23" s="13" t="str">
        <x:v>Use external links deliberately, not as an accidental architecture.</x:v>
      </x:c>
    </x:row>
    <x:row r="24">
      <x:c r="A24" s="13" t="str">
        <x:v>Finance owns a budget file and Operations only needs approved targets.</x:v>
      </x:c>
      <x:c r="B24" s="13" t="str">
        <x:v>A workbook contains dozens of unknown external sources.</x:v>
      </x:c>
      <x:c r="C24" s="13" t="str">
        <x:v>Consolidate sources or document ownership.</x:v>
      </x:c>
      <x:c r="D24" s="13" t="str">
        <x:v>Know the source, owner, refresh method, and failure mode.</x:v>
      </x:c>
    </x:row>
    <x:row r="25">
      <x:c r="A25" s="13" t="str">
        <x:v>A linked value should update when the source changes.</x:v>
      </x:c>
      <x:c r="B25" s="13" t="str">
        <x:v>A link is broken and someone replaces it with a typed value without documenting it.</x:v>
      </x:c>
      <x:c r="C25" s="13" t="str">
        <x:v>Fix the source or intentionally break the link after saving a backup.</x:v>
      </x:c>
      <x:c r="D25" s="13" t="str">
        <x:v>A stale number can look perfectly valid.</x:v>
      </x:c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  <x:col min="4" max="4" width="38" hidden="0" customWidth="1"/>
    <x:col min="9" max="9" width="22" hidden="0" customWidth="1"/>
    <x:col min="10" max="10" width="30" hidden="0" customWidth="1"/>
    <x:col min="11" max="11" width="32" hidden="0" customWidth="1"/>
    <x:col min="12" max="12" width="36" hidden="0" customWidth="1"/>
  </x:cols>
  <x:sheetData>
    <x:row r="1">
      <x:c r="A1" s="79" t="str">
        <x:v>PivotTable Lab: From 500 Sales Rows to a Management Summary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  <x:c r="M1" s="79"/>
      <x:c r="N1" s="79"/>
      <x:c r="O1" s="79"/>
      <x:c r="P1" s="79"/>
      <x:c r="Q1" s="79"/>
      <x:c r="R1" s="79"/>
    </x:row>
    <x:row r="3">
      <x:c r="A3" s="82" t="str">
        <x:v>PivotTable area</x:v>
      </x:c>
      <x:c r="B3" s="82" t="str">
        <x:v>Put this field here</x:v>
      </x:c>
      <x:c r="C3" s="82" t="str">
        <x:v>What Excel does</x:v>
      </x:c>
      <x:c r="D3" s="82" t="str">
        <x:v>Think of it as</x:v>
      </x:c>
    </x:row>
    <x:row r="4">
      <x:c r="A4" s="13" t="str">
        <x:v>Rows</x:v>
      </x:c>
      <x:c r="B4" s="13" t="str">
        <x:v>Region</x:v>
      </x:c>
      <x:c r="C4" s="13" t="str">
        <x:v>Creates one group for each region.</x:v>
      </x:c>
      <x:c r="D4" s="13" t="str">
        <x:v>What goes down the left side</x:v>
      </x:c>
    </x:row>
    <x:row r="5">
      <x:c r="A5" s="13" t="str">
        <x:v>Columns</x:v>
      </x:c>
      <x:c r="B5" s="13" t="str">
        <x:v>Status</x:v>
      </x:c>
      <x:c r="C5" s="13" t="str">
        <x:v>Creates headings across the top.</x:v>
      </x:c>
      <x:c r="D5" s="13" t="str">
        <x:v>How each row group is split</x:v>
      </x:c>
    </x:row>
    <x:row r="6">
      <x:c r="A6" s="13" t="str">
        <x:v>Values</x:v>
      </x:c>
      <x:c r="B6" s="13" t="str">
        <x:v>Revenue</x:v>
      </x:c>
      <x:c r="C6" s="13" t="str">
        <x:v>Calculates Sum, Count, Average, etc.</x:v>
      </x:c>
      <x:c r="D6" s="13" t="str">
        <x:v>The metric being measured</x:v>
      </x:c>
    </x:row>
    <x:row r="7">
      <x:c r="A7" s="13" t="str">
        <x:v>Filters</x:v>
      </x:c>
      <x:c r="B7" s="13" t="str">
        <x:v>SalesRep or Product</x:v>
      </x:c>
      <x:c r="C7" s="13" t="str">
        <x:v>Filters the whole PivotTable.</x:v>
      </x:c>
      <x:c r="D7" s="13" t="str">
        <x:v>A report-level selector</x:v>
      </x:c>
    </x:row>
    <x:row r="8">
      <x:c r="A8" s="13" t="str">
        <x:v>Source</x:v>
      </x:c>
      <x:c r="B8" s="13" t="str">
        <x:v>Sales table/range</x:v>
      </x:c>
      <x:c r="C8" s="13" t="str">
        <x:v>The records being summarized.</x:v>
      </x:c>
      <x:c r="D8" s="13" t="str">
        <x:v>The data behind the answer</x:v>
      </x:c>
    </x:row>
    <x:row r="11">
      <x:c r="A11" s="81" t="str">
        <x:v>Region</x:v>
      </x:c>
      <x:c r="B11" s="81" t="str">
        <x:v>Completed</x:v>
      </x:c>
      <x:c r="C11" s="81" t="str">
        <x:v>Pending</x:v>
      </x:c>
      <x:c r="D11" s="81" t="str">
        <x:v>Cancelled</x:v>
      </x:c>
      <x:c r="E11" s="81" t="str">
        <x:v>Grand Total</x:v>
      </x:c>
      <x:c r="F11" s="81" t="str">
        <x:v>Orders</x:v>
      </x:c>
      <x:c r="G11" s="81" t="str">
        <x:v>Orders</x:v>
      </x:c>
      <x:c r="I11" s="81" t="str">
        <x:v>Month</x:v>
      </x:c>
      <x:c r="J11" s="81" t="str">
        <x:v>Revenue</x:v>
      </x:c>
      <x:c r="K11" s="81" t="str">
        <x:v>Orders</x:v>
      </x:c>
    </x:row>
    <x:row r="12">
      <x:c r="A12" t="str">
        <x:v>GTA West</x:v>
      </x:c>
      <x:c r="B12" s="20" t="n">
        <x:v>15030.1</x:v>
      </x:c>
      <x:c r="C12" s="20" t="n">
        <x:v>4593.24</x:v>
      </x:c>
      <x:c r="D12" s="20" t="n">
        <x:v>1843.94</x:v>
      </x:c>
      <x:c r="E12" s="20" t="n">
        <x:v>21467.28</x:v>
      </x:c>
      <x:c r="F12" s="20" t="n">
        <x:v>107</x:v>
      </x:c>
      <x:c r="G12" t="n">
        <x:v>107</x:v>
      </x:c>
      <x:c r="I12" t="str">
        <x:v>2026-01</x:v>
      </x:c>
      <x:c r="J12" s="20" t="n">
        <x:v>11895.49</x:v>
      </x:c>
      <x:c r="K12" t="n">
        <x:v>60</x:v>
      </x:c>
    </x:row>
    <x:row r="13">
      <x:c r="A13" t="str">
        <x:v>Ottawa</x:v>
      </x:c>
      <x:c r="B13" s="20" t="n">
        <x:v>15349.61</x:v>
      </x:c>
      <x:c r="C13" s="20" t="n">
        <x:v>2959.84</x:v>
      </x:c>
      <x:c r="D13" s="20" t="n">
        <x:v>2433.75</x:v>
      </x:c>
      <x:c r="E13" s="20" t="n">
        <x:v>20743.2</x:v>
      </x:c>
      <x:c r="F13" s="20" t="n">
        <x:v>109</x:v>
      </x:c>
      <x:c r="G13" t="n">
        <x:v>109</x:v>
      </x:c>
      <x:c r="I13" t="str">
        <x:v>2026-02</x:v>
      </x:c>
      <x:c r="J13" s="20" t="n">
        <x:v>9882.07</x:v>
      </x:c>
      <x:c r="K13" t="n">
        <x:v>53</x:v>
      </x:c>
    </x:row>
    <x:row r="14">
      <x:c r="A14" t="str">
        <x:v>Southwestern ON</x:v>
      </x:c>
      <x:c r="B14" s="20" t="n">
        <x:v>14851.05</x:v>
      </x:c>
      <x:c r="C14" s="20" t="n">
        <x:v>3778.15</x:v>
      </x:c>
      <x:c r="D14" s="20" t="n">
        <x:v>953.11</x:v>
      </x:c>
      <x:c r="E14" s="20" t="n">
        <x:v>19582.31</x:v>
      </x:c>
      <x:c r="F14" s="20" t="n">
        <x:v>109</x:v>
      </x:c>
      <x:c r="G14" t="n">
        <x:v>109</x:v>
      </x:c>
      <x:c r="I14" t="str">
        <x:v>2026-03</x:v>
      </x:c>
      <x:c r="J14" s="20" t="n">
        <x:v>12318.33</x:v>
      </x:c>
      <x:c r="K14" t="n">
        <x:v>65</x:v>
      </x:c>
    </x:row>
    <x:row r="15">
      <x:c r="A15" t="str">
        <x:v>Toronto</x:v>
      </x:c>
      <x:c r="B15" s="20" t="n">
        <x:v>10709.09</x:v>
      </x:c>
      <x:c r="C15" s="20" t="n">
        <x:v>3442.98</x:v>
      </x:c>
      <x:c r="D15" s="20" t="n">
        <x:v>1774.17</x:v>
      </x:c>
      <x:c r="E15" s="20" t="n">
        <x:v>15926.24</x:v>
      </x:c>
      <x:c r="F15" s="20" t="n">
        <x:v>78</x:v>
      </x:c>
      <x:c r="G15" t="n">
        <x:v>78</x:v>
      </x:c>
      <x:c r="I15" t="str">
        <x:v>2026-04</x:v>
      </x:c>
      <x:c r="J15" s="20" t="n">
        <x:v>16342.31</x:v>
      </x:c>
      <x:c r="K15" t="n">
        <x:v>73</x:v>
      </x:c>
    </x:row>
    <x:row r="16">
      <x:c r="A16" t="str">
        <x:v>Western Canada</x:v>
      </x:c>
      <x:c r="B16" s="20" t="n">
        <x:v>15000.84</x:v>
      </x:c>
      <x:c r="C16" s="20" t="n">
        <x:v>2666.47</x:v>
      </x:c>
      <x:c r="D16" s="20" t="n">
        <x:v>1059.92</x:v>
      </x:c>
      <x:c r="E16" s="20" t="n">
        <x:v>18727.23</x:v>
      </x:c>
      <x:c r="F16" s="20" t="n">
        <x:v>97</x:v>
      </x:c>
      <x:c r="G16" t="n">
        <x:v>97</x:v>
      </x:c>
      <x:c r="I16" t="str">
        <x:v>2026-05</x:v>
      </x:c>
      <x:c r="J16" s="20" t="n">
        <x:v>10099.57</x:v>
      </x:c>
      <x:c r="K16" t="n">
        <x:v>51</x:v>
      </x:c>
    </x:row>
    <x:row r="17">
      <x:c r="A17" t="str">
        <x:v>Grand Total</x:v>
      </x:c>
      <x:c r="B17" s="20" t="n">
        <x:v>70940.69</x:v>
      </x:c>
      <x:c r="C17" s="20" t="n">
        <x:v>17440.68</x:v>
      </x:c>
      <x:c r="D17" s="20" t="n">
        <x:v>8064.89</x:v>
      </x:c>
      <x:c r="E17" s="20" t="n">
        <x:v>96446.26</x:v>
      </x:c>
      <x:c r="F17" s="20" t="n">
        <x:v>500</x:v>
      </x:c>
      <x:c r="G17" t="n">
        <x:v>500</x:v>
      </x:c>
      <x:c r="I17" t="str">
        <x:v>2026-06</x:v>
      </x:c>
      <x:c r="J17" s="20" t="n">
        <x:v>12395.17</x:v>
      </x:c>
      <x:c r="K17" t="n">
        <x:v>62</x:v>
      </x:c>
    </x:row>
    <x:row r="18">
      <x:c r="I18" t="str">
        <x:v>2026-07</x:v>
      </x:c>
      <x:c r="J18" s="20" t="n">
        <x:v>12308.88</x:v>
      </x:c>
      <x:c r="K18" t="n">
        <x:v>74</x:v>
      </x:c>
    </x:row>
    <x:row r="19">
      <x:c r="I19" t="str">
        <x:v>2026-08</x:v>
      </x:c>
      <x:c r="J19" s="20" t="n">
        <x:v>11204.44</x:v>
      </x:c>
      <x:c r="K19" t="n">
        <x:v>62</x:v>
      </x:c>
    </x:row>
    <x:row r="23">
      <x:c r="A23" s="85" t="str">
        <x:v>PivotTable workflow</x:v>
      </x:c>
      <x:c r="B23" s="85" t="str">
        <x:v>What to do</x:v>
      </x:c>
      <x:c r="C23" s="85" t="str">
        <x:v>Why</x:v>
      </x:c>
      <x:c r="D23" s="85" t="str">
        <x:v>Common mistake</x:v>
      </x:c>
      <x:c r="I23" s="88" t="str">
        <x:v>Advanced idea</x:v>
      </x:c>
      <x:c r="J23" s="88" t="str">
        <x:v>Example</x:v>
      </x:c>
      <x:c r="K23" s="88" t="str">
        <x:v>Benefit</x:v>
      </x:c>
      <x:c r="L23" s="88" t="str">
        <x:v>Caution</x:v>
      </x:c>
    </x:row>
    <x:row r="24">
      <x:c r="A24" s="13" t="str">
        <x:v>1. Prepare source</x:v>
      </x:c>
      <x:c r="B24" s="13" t="str">
        <x:v>Use one header row and no blank rows inside the list.</x:v>
      </x:c>
      <x:c r="C24" s="13" t="str">
        <x:v>PivotTables need a clean rectangular source.</x:v>
      </x:c>
      <x:c r="D24" s="13" t="str">
        <x:v>Decorative report layouts used as source data.</x:v>
      </x:c>
      <x:c r="I24" s="13" t="str">
        <x:v>Multiple tables</x:v>
      </x:c>
      <x:c r="J24" s="13" t="str">
        <x:v>Sales related to Products by ProductID</x:v>
      </x:c>
      <x:c r="K24" s="13" t="str">
        <x:v>Analyze fields from both tables without flattening everything.</x:v>
      </x:c>
      <x:c r="L24" s="13" t="str">
        <x:v>Keys must be reliable and relationships correct.</x:v>
      </x:c>
    </x:row>
    <x:row r="25">
      <x:c r="A25" s="13" t="str">
        <x:v>2. Prefer a Table</x:v>
      </x:c>
      <x:c r="B25" s="13" t="str">
        <x:v>Convert the source with Ctrl+T.</x:v>
      </x:c>
      <x:c r="C25" s="13" t="str">
        <x:v>New rows are easier to include when the source grows.</x:v>
      </x:c>
      <x:c r="D25" s="13" t="str">
        <x:v>Pivot source remains a fixed old range.</x:v>
      </x:c>
      <x:c r="I25" s="13" t="str">
        <x:v>Data Model</x:v>
      </x:c>
      <x:c r="J25" s="13" t="str">
        <x:v>Sales + Products + Customers</x:v>
      </x:c>
      <x:c r="K25" s="13" t="str">
        <x:v>Supports PivotTables/PivotCharts across related tables.</x:v>
      </x:c>
      <x:c r="L25" s="13" t="str">
        <x:v>More powerful, but more concepts to maintain.</x:v>
      </x:c>
    </x:row>
    <x:row r="26">
      <x:c r="A26" s="13" t="str">
        <x:v>3. Insert PivotTable</x:v>
      </x:c>
      <x:c r="B26" s="13" t="str">
        <x:v>Insert &gt; PivotTable and choose the source.</x:v>
      </x:c>
      <x:c r="C26" s="13" t="str">
        <x:v>Creates a blank summary and Field List.</x:v>
      </x:c>
      <x:c r="D26" s="13" t="str">
        <x:v>Selecting only part of the data.</x:v>
      </x:c>
      <x:c r="I26" s="13" t="str">
        <x:v>Slicer</x:v>
      </x:c>
      <x:c r="J26" s="13" t="str">
        <x:v>Region or Status</x:v>
      </x:c>
      <x:c r="K26" s="13" t="str">
        <x:v>Large clickable filter buttons for reports.</x:v>
      </x:c>
      <x:c r="L26" s="13" t="str">
        <x:v>Too many slicers create clutter.</x:v>
      </x:c>
    </x:row>
    <x:row r="27">
      <x:c r="A27" s="13" t="str">
        <x:v>4. Arrange fields</x:v>
      </x:c>
      <x:c r="B27" s="13" t="str">
        <x:v>Drag fields to Rows, Columns, Values, and Filters.</x:v>
      </x:c>
      <x:c r="C27" s="13" t="str">
        <x:v>Defines the question.</x:v>
      </x:c>
      <x:c r="D27" s="13" t="str">
        <x:v>Dropping a text field into Values and getting Count unexpectedly.</x:v>
      </x:c>
      <x:c r="I27" s="13" t="str">
        <x:v>PivotChart</x:v>
      </x:c>
      <x:c r="J27" s="13" t="str">
        <x:v>Revenue by Region</x:v>
      </x:c>
      <x:c r="K27" s="13" t="str">
        <x:v>Chart stays tied to PivotTable filtering.</x:v>
      </x:c>
      <x:c r="L27" s="13" t="str">
        <x:v>Still reconcile the underlying PivotTable.</x:v>
      </x:c>
    </x:row>
    <x:row r="28">
      <x:c r="A28" s="13" t="str">
        <x:v>5. Check aggregation</x:v>
      </x:c>
      <x:c r="B28" s="13" t="str">
        <x:v>Confirm Sum, Count, or Average.</x:v>
      </x:c>
      <x:c r="C28" s="13" t="str">
        <x:v>The same field can answer different questions.</x:v>
      </x:c>
      <x:c r="D28" s="13" t="str">
        <x:v>Reporting Count of Revenue instead of Sum of Revenue.</x:v>
      </x:c>
      <x:c r="I28" s="13" t="str">
        <x:v>External source</x:v>
      </x:c>
      <x:c r="J28" s="13" t="str">
        <x:v>Database or another connected source</x:v>
      </x:c>
      <x:c r="K28" s="13" t="str">
        <x:v>Analyze data without manually copying it.</x:v>
      </x:c>
      <x:c r="L28" s="13" t="str">
        <x:v>Refresh/security/permissions matter.</x:v>
      </x:c>
    </x:row>
    <x:row r="29">
      <x:c r="A29" s="13" t="str">
        <x:v>6. Group dates</x:v>
      </x:c>
      <x:c r="B29" s="13" t="str">
        <x:v>Group OrderDate by month when useful.</x:v>
      </x:c>
      <x:c r="C29" s="13" t="str">
        <x:v>Turns daily transactions into a monthly trend.</x:v>
      </x:c>
      <x:c r="D29" s="13" t="str">
        <x:v>Dates stored as text cannot group cleanly.</x:v>
      </x:c>
      <x:c r="I29" s="13" t="str">
        <x:v>Refresh</x:v>
      </x:c>
      <x:c r="J29" s="13" t="str">
        <x:v>PivotTable Analyze &gt; Refresh</x:v>
      </x:c>
      <x:c r="K29" s="13" t="str">
        <x:v>Updates the PivotTable after source changes.</x:v>
      </x:c>
      <x:c r="L29" s="13" t="str">
        <x:v>New rows can be missed if source design is poor.</x:v>
      </x:c>
    </x:row>
    <x:row r="30">
      <x:c r="A30" s="13" t="str">
        <x:v>7. Filter/sort</x:v>
      </x:c>
      <x:c r="B30" s="13" t="str">
        <x:v>Focus the PivotTable on the decision.</x:v>
      </x:c>
      <x:c r="C30" s="13" t="str">
        <x:v>Reduces noise.</x:v>
      </x:c>
      <x:c r="D30" s="13" t="str">
        <x:v>Forgetting that a filter is active.</x:v>
      </x:c>
    </x:row>
    <x:row r="31">
      <x:c r="A31" s="13" t="str">
        <x:v>8. Refresh</x:v>
      </x:c>
      <x:c r="B31" s="13" t="str">
        <x:v>Refresh after the source changes.</x:v>
      </x:c>
      <x:c r="C31" s="13" t="str">
        <x:v>Keeps the summary current.</x:v>
      </x:c>
      <x:c r="D31" s="13" t="str">
        <x:v>Assuming a PivotTable always updates immediately.</x:v>
      </x:c>
    </x:row>
    <x:row r="32">
      <x:c r="A32" s="13" t="str">
        <x:v>9. Reconcile</x:v>
      </x:c>
      <x:c r="B32" s="13" t="str">
        <x:v>Compare the grand total with the source.</x:v>
      </x:c>
      <x:c r="C32" s="13" t="str">
        <x:v>Confirms the PivotTable uses the right data.</x:v>
      </x:c>
      <x:c r="D32" s="13" t="str">
        <x:v>Formatting before checking totals.</x:v>
      </x:c>
    </x:row>
    <x:row r="33">
      <x:c r="A33" s="13" t="str">
        <x:v>10. Visualize</x:v>
      </x:c>
      <x:c r="B33" s="13" t="str">
        <x:v>Add a PivotChart or slicer when interaction helps.</x:v>
      </x:c>
      <x:c r="C33" s="13" t="str">
        <x:v>Turns the summary into an explorable report.</x:v>
      </x:c>
      <x:c r="D33" s="13" t="str">
        <x:v>Adding visuals that do not answer a question.</x:v>
      </x:c>
    </x:row>
  </x:sheetData>
  <x:mergeCells>
    <x:mergeCell ref="A1:R1"/>
  </x:mergeCells>
  <x:pageMargins left="0.7" right="0.7" top="0.75" bottom="0.75" header="0.3" footer="0.3"/>
  <x:drawing xmlns:r="http://schemas.openxmlformats.org/officeDocument/2006/relationships" r:id="Rd51a4498616d4d6b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6" hidden="0" customWidth="1"/>
    <x:col min="6" max="6" width="16" hidden="0" customWidth="1"/>
    <x:col min="8" max="8" width="25" hidden="0" customWidth="1"/>
    <x:col min="9" max="9" width="42" hidden="0" customWidth="1"/>
    <x:col min="10" max="10" width="34" hidden="0" customWidth="1"/>
    <x:col min="11" max="11" width="28" hidden="0" customWidth="1"/>
  </x:cols>
  <x:sheetData>
    <x:row r="1">
      <x:c r="A1" s="92" t="str">
        <x:v>Power Query Lab: Clean Once, Refresh Next Month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</x:row>
    <x:row r="2">
      <x:c r="A2" s="64" t="str">
        <x:v>This sheet shows the business problem, the intended transformations, and the clean result. Build the live query in desktop Excel using the supplied CSV files.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</x:row>
    <x:row r="4">
      <x:c r="A4" s="95" t="str">
        <x:v>Order ID</x:v>
      </x:c>
      <x:c r="B4" s="95" t="str">
        <x:v>Order Date</x:v>
      </x:c>
      <x:c r="C4" s="95" t="str">
        <x:v>Region</x:v>
      </x:c>
      <x:c r="D4" s="95" t="str">
        <x:v>Product ID</x:v>
      </x:c>
      <x:c r="E4" s="95" t="str">
        <x:v>Status</x:v>
      </x:c>
      <x:c r="F4" s="95" t="str">
        <x:v>Revenue Text</x:v>
      </x:c>
      <x:c r="H4" s="98" t="str">
        <x:v>Applied step</x:v>
      </x:c>
      <x:c r="I4" s="98" t="str">
        <x:v>What you do in Power Query</x:v>
      </x:c>
      <x:c r="J4" s="98" t="str">
        <x:v>Why it matters</x:v>
      </x:c>
    </x:row>
    <x:row r="5">
      <x:c r="A5" s="13" t="str">
        <x:v> 9001 </x:v>
      </x:c>
      <x:c r="B5" s="13" t="str">
        <x:v>2026-09-01</x:v>
      </x:c>
      <x:c r="C5" s="13" t="str">
        <x:v>toronto </x:v>
      </x:c>
      <x:c r="D5" s="13" t="str">
        <x:v>P010</x:v>
      </x:c>
      <x:c r="E5" s="13" t="str">
        <x:v>completed</x:v>
      </x:c>
      <x:c r="F5" s="13" t="str">
        <x:v>$245.50</x:v>
      </x:c>
      <x:c r="H5" s="13" t="str">
        <x:v>Source</x:v>
      </x:c>
      <x:c r="I5" s="13" t="str">
        <x:v>Data &gt; Get Data &gt; From File &gt; From Text/CSV</x:v>
      </x:c>
      <x:c r="J5" s="13" t="str">
        <x:v>Connect instead of copy/paste.</x:v>
      </x:c>
    </x:row>
    <x:row r="6">
      <x:c r="A6" s="13" t="str">
        <x:v>9002</x:v>
      </x:c>
      <x:c r="B6" s="13" t="str">
        <x:v>09/02/2026</x:v>
      </x:c>
      <x:c r="C6" s="13" t="str">
        <x:v>GTA WEST</x:v>
      </x:c>
      <x:c r="D6" s="13" t="str">
        <x:v>P021</x:v>
      </x:c>
      <x:c r="E6" s="13" t="str">
        <x:v>Pending </x:v>
      </x:c>
      <x:c r="F6" s="13" t="str">
        <x:v>$1,120.00</x:v>
      </x:c>
      <x:c r="H6" s="13" t="str">
        <x:v>Trim Order ID</x:v>
      </x:c>
      <x:c r="I6" s="13" t="str">
        <x:v>Transform &gt; Format &gt; Trim</x:v>
      </x:c>
      <x:c r="J6" s="13" t="str">
        <x:v>Remove accidental spaces.</x:v>
      </x:c>
    </x:row>
    <x:row r="7">
      <x:c r="A7" s="13" t="str">
        <x:v>9003</x:v>
      </x:c>
      <x:c r="B7" s="13" t="str">
        <x:v>2026/09/03</x:v>
      </x:c>
      <x:c r="C7" s="13" t="str">
        <x:v> Ottawa</x:v>
      </x:c>
      <x:c r="D7" s="13" t="str">
        <x:v>P010</x:v>
      </x:c>
      <x:c r="E7" s="13" t="str">
        <x:v>COMPLETED</x:v>
      </x:c>
      <x:c r="F7" s="13" t="str">
        <x:v>$89.75</x:v>
      </x:c>
      <x:c r="H7" s="13" t="str">
        <x:v>Standardize Region</x:v>
      </x:c>
      <x:c r="I7" s="13" t="str">
        <x:v>Trim, then Capitalize Each Word or replace known values</x:v>
      </x:c>
      <x:c r="J7" s="13" t="str">
        <x:v>Make categories consistent.</x:v>
      </x:c>
    </x:row>
    <x:row r="8">
      <x:c r="A8" s="13" t="str">
        <x:v>9004</x:v>
      </x:c>
      <x:c r="B8" s="13" t="str">
        <x:v>Sep 4 2026</x:v>
      </x:c>
      <x:c r="C8" s="13" t="str">
        <x:v>Toronto</x:v>
      </x:c>
      <x:c r="D8" s="13" t="str">
        <x:v>P032</x:v>
      </x:c>
      <x:c r="E8" s="13" t="str">
        <x:v>cancelled </x:v>
      </x:c>
      <x:c r="F8" s="13" t="str">
        <x:v>$315.20</x:v>
      </x:c>
      <x:c r="H8" s="13" t="str">
        <x:v>Standardize Status</x:v>
      </x:c>
      <x:c r="I8" s="13" t="str">
        <x:v>Trim, then standardize case</x:v>
      </x:c>
      <x:c r="J8" s="13" t="str">
        <x:v>Prevent Completed/completed from becoming separate groups.</x:v>
      </x:c>
    </x:row>
    <x:row r="9">
      <x:c r="A9" s="13" t="str">
        <x:v>9005</x:v>
      </x:c>
      <x:c r="B9" s="13" t="str">
        <x:v>2026-09-05</x:v>
      </x:c>
      <x:c r="C9" s="13" t="str">
        <x:v>gta west</x:v>
      </x:c>
      <x:c r="D9" s="13" t="str">
        <x:v>P044</x:v>
      </x:c>
      <x:c r="E9" s="13" t="str">
        <x:v>Completed</x:v>
      </x:c>
      <x:c r="F9" s="13" t="str">
        <x:v>$780.00</x:v>
      </x:c>
      <x:c r="H9" s="13" t="str">
        <x:v>Set Order Date type</x:v>
      </x:c>
      <x:c r="I9" s="13" t="str">
        <x:v>Change type to Date</x:v>
      </x:c>
      <x:c r="J9" s="13" t="str">
        <x:v>Make sorting, grouping, and date analysis reliable.</x:v>
      </x:c>
    </x:row>
    <x:row r="10">
      <x:c r="A10" s="13" t="str">
        <x:v>9006</x:v>
      </x:c>
      <x:c r="B10" s="13" t="str">
        <x:v>2026-09-06</x:v>
      </x:c>
      <x:c r="C10" s="13" t="str">
        <x:v>TORONTO</x:v>
      </x:c>
      <x:c r="D10" s="13" t="str">
        <x:v>P021</x:v>
      </x:c>
      <x:c r="E10" s="13" t="str">
        <x:v>pending</x:v>
      </x:c>
      <x:c r="F10" s="13" t="str">
        <x:v>$155.40</x:v>
      </x:c>
      <x:c r="H10" s="13" t="str">
        <x:v>Clean Revenue</x:v>
      </x:c>
      <x:c r="I10" s="13" t="str">
        <x:v>Remove $ and commas, then set Decimal/Currency type</x:v>
      </x:c>
      <x:c r="J10" s="13" t="str">
        <x:v>Turn text into a numeric metric.</x:v>
      </x:c>
    </x:row>
    <x:row r="11">
      <x:c r="A11" s="13"/>
      <x:c r="B11" s="13"/>
      <x:c r="C11" s="13"/>
      <x:c r="D11" s="13"/>
      <x:c r="E11" s="13"/>
      <x:c r="F11" s="13"/>
      <x:c r="H11" s="13" t="str">
        <x:v>Keep needed columns</x:v>
      </x:c>
      <x:c r="I11" s="13" t="str">
        <x:v>Remove columns that are not part of the report</x:v>
      </x:c>
      <x:c r="J11" s="13" t="str">
        <x:v>Reduce clutter.</x:v>
      </x:c>
    </x:row>
    <x:row r="12">
      <x:c r="H12" s="13" t="str">
        <x:v>Close &amp; Load</x:v>
      </x:c>
      <x:c r="I12" s="13" t="str">
        <x:v>Load to worksheet or Data Model</x:v>
      </x:c>
      <x:c r="J12" s="13" t="str">
        <x:v>Create a reusable clean output.</x:v>
      </x:c>
    </x:row>
    <x:row r="13">
      <x:c r="H13" s="13" t="str">
        <x:v>Next month</x:v>
      </x:c>
      <x:c r="I13" s="13" t="str">
        <x:v>Replace/add source data and Refresh</x:v>
      </x:c>
      <x:c r="J13" s="13" t="str">
        <x:v>Repeat the steps automatically.</x:v>
      </x:c>
    </x:row>
    <x:row r="16">
      <x:c r="A16" s="100" t="str">
        <x:v>Order ID</x:v>
      </x:c>
      <x:c r="B16" s="100" t="str">
        <x:v>Order Date</x:v>
      </x:c>
      <x:c r="C16" s="100" t="str">
        <x:v>Region</x:v>
      </x:c>
      <x:c r="D16" s="100" t="str">
        <x:v>Product ID</x:v>
      </x:c>
      <x:c r="E16" s="100" t="str">
        <x:v>Status</x:v>
      </x:c>
      <x:c r="F16" s="100" t="str">
        <x:v>Revenue</x:v>
      </x:c>
      <x:c r="H16" s="101" t="str">
        <x:v>Monthly folder</x:v>
      </x:c>
      <x:c r="I16" s="101" t="str">
        <x:v>Rows</x:v>
      </x:c>
      <x:c r="J16" s="101" t="str">
        <x:v>What Power Query does</x:v>
      </x:c>
      <x:c r="K16" s="101" t="str">
        <x:v>Result</x:v>
      </x:c>
    </x:row>
    <x:row r="17">
      <x:c r="A17" t="str">
        <x:v>9001</x:v>
      </x:c>
      <x:c r="B17" t="str">
        <x:v>2026-09-01</x:v>
      </x:c>
      <x:c r="C17" t="str">
        <x:v>Toronto</x:v>
      </x:c>
      <x:c r="D17" t="str">
        <x:v>P010</x:v>
      </x:c>
      <x:c r="E17" t="str">
        <x:v>Completed</x:v>
      </x:c>
      <x:c r="F17" s="20" t="n">
        <x:v>245.5</x:v>
      </x:c>
      <x:c r="H17" s="13" t="str">
        <x:v>Sales_2026_07.csv</x:v>
      </x:c>
      <x:c r="I17" s="13" t="str">
        <x:v>3 sample rows</x:v>
      </x:c>
      <x:c r="J17" s="13" t="str">
        <x:v>Uses the same transformation pattern</x:v>
      </x:c>
      <x:c r="K17" s="13" t="str">
        <x:v>Appended into one table</x:v>
      </x:c>
    </x:row>
    <x:row r="18">
      <x:c r="A18" t="str">
        <x:v>9002</x:v>
      </x:c>
      <x:c r="B18" t="str">
        <x:v>2026-09-02</x:v>
      </x:c>
      <x:c r="C18" t="str">
        <x:v>Gta West</x:v>
      </x:c>
      <x:c r="D18" t="str">
        <x:v>P021</x:v>
      </x:c>
      <x:c r="E18" t="str">
        <x:v>Pending</x:v>
      </x:c>
      <x:c r="F18" s="20" t="n">
        <x:v>1120</x:v>
      </x:c>
      <x:c r="H18" s="13" t="str">
        <x:v>Sales_2026_08.csv</x:v>
      </x:c>
      <x:c r="I18" s="13" t="str">
        <x:v>3 sample rows</x:v>
      </x:c>
      <x:c r="J18" s="13" t="str">
        <x:v>Matches columns by schema</x:v>
      </x:c>
      <x:c r="K18" s="13" t="str">
        <x:v>Appended into one table</x:v>
      </x:c>
    </x:row>
    <x:row r="19">
      <x:c r="A19" t="str">
        <x:v>9003</x:v>
      </x:c>
      <x:c r="B19" t="str">
        <x:v>2026-09-03</x:v>
      </x:c>
      <x:c r="C19" t="str">
        <x:v>Ottawa</x:v>
      </x:c>
      <x:c r="D19" t="str">
        <x:v>P010</x:v>
      </x:c>
      <x:c r="E19" t="str">
        <x:v>Completed</x:v>
      </x:c>
      <x:c r="F19" s="20" t="n">
        <x:v>89.75</x:v>
      </x:c>
      <x:c r="H19" s="13" t="str">
        <x:v>Sales_2026_09.csv</x:v>
      </x:c>
      <x:c r="I19" s="13" t="str">
        <x:v>6 sample rows</x:v>
      </x:c>
      <x:c r="J19" s="13" t="str">
        <x:v>Transforms the newest file</x:v>
      </x:c>
      <x:c r="K19" s="13" t="str">
        <x:v>Appended into one table</x:v>
      </x:c>
    </x:row>
    <x:row r="20">
      <x:c r="A20" t="str">
        <x:v>9004</x:v>
      </x:c>
      <x:c r="B20" t="str">
        <x:v>2026-09-04</x:v>
      </x:c>
      <x:c r="C20" t="str">
        <x:v>Toronto</x:v>
      </x:c>
      <x:c r="D20" t="str">
        <x:v>P032</x:v>
      </x:c>
      <x:c r="E20" t="str">
        <x:v>Cancelled</x:v>
      </x:c>
      <x:c r="F20" s="20" t="n">
        <x:v>315.2</x:v>
      </x:c>
      <x:c r="H20" s="13" t="str">
        <x:v>Refresh next month</x:v>
      </x:c>
      <x:c r="I20" s="13" t="str">
        <x:v>Add Sales_2026_10.csv</x:v>
      </x:c>
      <x:c r="J20" s="13" t="str">
        <x:v>Re-runs the query steps</x:v>
      </x:c>
      <x:c r="K20" s="13" t="str">
        <x:v>Updated combined table</x:v>
      </x:c>
    </x:row>
    <x:row r="21">
      <x:c r="A21" t="str">
        <x:v>9005</x:v>
      </x:c>
      <x:c r="B21" t="str">
        <x:v>2026-09-05</x:v>
      </x:c>
      <x:c r="C21" t="str">
        <x:v>Gta West</x:v>
      </x:c>
      <x:c r="D21" t="str">
        <x:v>P044</x:v>
      </x:c>
      <x:c r="E21" t="str">
        <x:v>Completed</x:v>
      </x:c>
      <x:c r="F21" s="20" t="n">
        <x:v>780</x:v>
      </x:c>
      <x:c r="H21" s="13"/>
      <x:c r="I21" s="13"/>
      <x:c r="J21" s="13"/>
      <x:c r="K21" s="13"/>
    </x:row>
    <x:row r="22">
      <x:c r="A22" t="str">
        <x:v>9006</x:v>
      </x:c>
      <x:c r="B22" t="str">
        <x:v>2026-09-06</x:v>
      </x:c>
      <x:c r="C22" t="str">
        <x:v>Toronto</x:v>
      </x:c>
      <x:c r="D22" t="str">
        <x:v>P021</x:v>
      </x:c>
      <x:c r="E22" t="str">
        <x:v>Pending</x:v>
      </x:c>
      <x:c r="F22" s="20" t="n">
        <x:v>155.4</x:v>
      </x:c>
    </x:row>
    <x:row r="26">
      <x:c r="A26" s="98" t="str">
        <x:v>Need</x:v>
      </x:c>
      <x:c r="B26" s="98" t="str">
        <x:v>Power Query operation</x:v>
      </x:c>
      <x:c r="C26" s="98" t="str">
        <x:v>Example</x:v>
      </x:c>
      <x:c r="D26" s="98" t="str">
        <x:v>Mental model</x:v>
      </x:c>
      <x:c r="H26" s="95" t="str">
        <x:v>Power Query habit</x:v>
      </x:c>
      <x:c r="I26" s="95" t="str">
        <x:v>Why</x:v>
      </x:c>
    </x:row>
    <x:row r="27">
      <x:c r="A27" s="13" t="str">
        <x:v>Add more rows with the same columns</x:v>
      </x:c>
      <x:c r="B27" s="13" t="str">
        <x:v>Append</x:v>
      </x:c>
      <x:c r="C27" s="13" t="str">
        <x:v>July + August + September sales</x:v>
      </x:c>
      <x:c r="D27" s="13" t="str">
        <x:v>Stack tables vertically</x:v>
      </x:c>
      <x:c r="H27" s="13" t="str">
        <x:v>Inspect data types after import</x:v>
      </x:c>
      <x:c r="I27" s="13" t="str">
        <x:v>Automatic type detection is helpful but can still need correction.</x:v>
      </x:c>
    </x:row>
    <x:row r="28">
      <x:c r="A28" s="13" t="str">
        <x:v>Add columns from a related table</x:v>
      </x:c>
      <x:c r="B28" s="13" t="str">
        <x:v>Merge</x:v>
      </x:c>
      <x:c r="C28" s="13" t="str">
        <x:v>Sales + Products using ProductID</x:v>
      </x:c>
      <x:c r="D28" s="13" t="str">
        <x:v>Join tables using a key</x:v>
      </x:c>
      <x:c r="H28" s="13" t="str">
        <x:v>Keep source files in a controlled location</x:v>
      </x:c>
      <x:c r="I28" s="13" t="str">
        <x:v>Moving or renaming sources can break refresh.</x:v>
      </x:c>
    </x:row>
    <x:row r="29">
      <x:c r="A29" s="13" t="str">
        <x:v>Clean one imported table</x:v>
      </x:c>
      <x:c r="B29" s="13" t="str">
        <x:v>Transform</x:v>
      </x:c>
      <x:c r="C29" s="13" t="str">
        <x:v>Trim, replace, change type, remove columns</x:v>
      </x:c>
      <x:c r="D29" s="13" t="str">
        <x:v>Record repeatable cleanup steps</x:v>
      </x:c>
      <x:c r="H29" s="13" t="str">
        <x:v>Do not manually edit the loaded output as if it were the source</x:v>
      </x:c>
      <x:c r="I29" s="13" t="str">
        <x:v>Refresh can replace query output.</x:v>
      </x:c>
    </x:row>
    <x:row r="30">
      <x:c r="A30" s="13" t="str">
        <x:v>Reuse a query result</x:v>
      </x:c>
      <x:c r="B30" s="13" t="str">
        <x:v>Reference</x:v>
      </x:c>
      <x:c r="C30" s="13" t="str">
        <x:v>Create a second query from an existing query</x:v>
      </x:c>
      <x:c r="D30" s="13" t="str">
        <x:v>Build from a prepared result</x:v>
      </x:c>
      <x:c r="H30" s="13" t="str">
        <x:v>Name important queries clearly</x:v>
      </x:c>
      <x:c r="I30" s="13" t="str">
        <x:v>A workbook can accumulate many helper and final queries.</x:v>
      </x:c>
    </x:row>
    <x:row r="31">
      <x:c r="A31" s="13"/>
      <x:c r="B31" s="13"/>
      <x:c r="C31" s="13"/>
      <x:c r="D31" s="13"/>
      <x:c r="H31" s="13" t="str">
        <x:v>Reconcile row counts and totals after transformations</x:v>
      </x:c>
      <x:c r="I31" s="13" t="str">
        <x:v>Automation should make work repeatable, not unaudited.</x:v>
      </x:c>
    </x:row>
    <x:row r="32">
      <x:c r="H32" s="13" t="str">
        <x:v>Use Append for same-shaped monthly files</x:v>
      </x:c>
      <x:c r="I32" s="13" t="str">
        <x:v>This is usually cleaner than copy/paste into a master sheet.</x:v>
      </x:c>
    </x:row>
    <x:row r="33">
      <x:c r="H33" s="13" t="str">
        <x:v>Use Merge when a key connects related tables</x:v>
      </x:c>
      <x:c r="I33" s="13" t="str">
        <x:v>For example, ProductID can connect Sales to Products.</x:v>
      </x:c>
    </x:row>
    <x:row r="34">
      <x:c r="H34" s="13"/>
      <x:c r="I34" s="13"/>
    </x:row>
  </x:sheetData>
  <x:mergeCells>
    <x:mergeCell ref="A1:N1"/>
    <x:mergeCell ref="A2:N2"/>
  </x:mergeCells>
  <x:pageMargins left="0.7" right="0.7" top="0.75" bottom="0.75" header="0.3" footer="0.3"/>
</x:worksheet>
</file>